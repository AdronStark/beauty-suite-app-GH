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ibarra\Documents\Mirai\AG - Code\P5 - Ofertas Beauty\"/>
    </mc:Choice>
  </mc:AlternateContent>
  <xr:revisionPtr revIDLastSave="0" documentId="13_ncr:1_{0550998A-A951-4AD3-82FB-37EED0EC8665}" xr6:coauthVersionLast="47" xr6:coauthVersionMax="47" xr10:uidLastSave="{00000000-0000-0000-0000-000000000000}"/>
  <bookViews>
    <workbookView xWindow="-23148" yWindow="3984" windowWidth="23256" windowHeight="13896" firstSheet="4" activeTab="6" xr2:uid="{00000000-000D-0000-FFFF-FFFF00000000}"/>
  </bookViews>
  <sheets>
    <sheet name="Ternum tubos" sheetId="56" r:id="rId1"/>
    <sheet name="Mesobeauty" sheetId="75" r:id="rId2"/>
    <sheet name="Modelo FS" sheetId="77" r:id="rId3"/>
    <sheet name="DB &gt;&gt;" sheetId="76" r:id="rId4"/>
    <sheet name="TD tarifas" sheetId="74" r:id="rId5"/>
    <sheet name="BD tasas y precios" sheetId="41" r:id="rId6"/>
    <sheet name="BD Jumsa" sheetId="43" r:id="rId7"/>
    <sheet name="BD Tubos" sheetId="55" r:id="rId8"/>
    <sheet name="tarifas Word JUMSA " sheetId="13" r:id="rId9"/>
    <sheet name="Tarifas Word Tubos (" sheetId="14" r:id="rId10"/>
    <sheet name="tarifas Excel COPER" sheetId="8" r:id="rId11"/>
    <sheet name="Gl" sheetId="28" state="hidden" r:id="rId12"/>
  </sheets>
  <definedNames>
    <definedName name="_xlnm._FilterDatabase" localSheetId="6" hidden="1">'BD Jumsa'!$O$2:$P$423</definedName>
    <definedName name="_xlnm._FilterDatabase" localSheetId="7" hidden="1">'BD Tubos'!$M$2:$R$246</definedName>
    <definedName name="_xlnm._FilterDatabase" localSheetId="1" hidden="1">Mesobeauty!$C$139:$E$147</definedName>
    <definedName name="_xlnm._FilterDatabase" localSheetId="2" hidden="1">'Modelo FS'!$C$139:$E$147</definedName>
    <definedName name="_xlnm._FilterDatabase" localSheetId="9" hidden="1">'Tarifas Word Tubos ('!$B$7:$G$68</definedName>
    <definedName name="_xlnm._FilterDatabase" localSheetId="0" hidden="1">'Ternum tubos'!$B$67:$C$74</definedName>
    <definedName name="EnvasadoFrascos" localSheetId="7">#REF!</definedName>
    <definedName name="EnvasadoFrascos" localSheetId="1">#REF!</definedName>
    <definedName name="EnvasadoFrascos" localSheetId="2">#REF!</definedName>
    <definedName name="EnvasadoFrascos" localSheetId="0">#REF!</definedName>
    <definedName name="EnvasadoFrascos">#REF!</definedName>
  </definedNames>
  <calcPr calcId="191029"/>
  <pivotCaches>
    <pivotCache cacheId="18" r:id="rId13"/>
    <pivotCache cacheId="1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5" l="1"/>
  <c r="M1" i="43"/>
  <c r="P74" i="55"/>
  <c r="I23" i="43" l="1"/>
  <c r="I20" i="43"/>
  <c r="E66" i="75" l="1"/>
  <c r="E46" i="77" l="1"/>
  <c r="E45" i="77"/>
  <c r="E44" i="77"/>
  <c r="E43" i="77"/>
  <c r="E42" i="77"/>
  <c r="E48" i="77" s="1"/>
  <c r="E55" i="77" s="1"/>
  <c r="E41" i="77"/>
  <c r="E25" i="77"/>
  <c r="E29" i="77" s="1"/>
  <c r="E147" i="77"/>
  <c r="E151" i="77" s="1"/>
  <c r="E162" i="77" s="1"/>
  <c r="E163" i="77" s="1"/>
  <c r="E125" i="77"/>
  <c r="E129" i="77" s="1"/>
  <c r="E113" i="77"/>
  <c r="E117" i="77" s="1"/>
  <c r="E101" i="77"/>
  <c r="E105" i="77" s="1"/>
  <c r="E89" i="77"/>
  <c r="E93" i="77" s="1"/>
  <c r="E83" i="77"/>
  <c r="E74" i="77"/>
  <c r="E53" i="77"/>
  <c r="E68" i="75"/>
  <c r="E54" i="75"/>
  <c r="E29" i="75"/>
  <c r="E147" i="75"/>
  <c r="E125" i="75"/>
  <c r="E129" i="75" s="1"/>
  <c r="E113" i="75"/>
  <c r="E101" i="75"/>
  <c r="E105" i="75" s="1"/>
  <c r="E89" i="75"/>
  <c r="E93" i="75" s="1"/>
  <c r="E74" i="75"/>
  <c r="E42" i="75"/>
  <c r="E41" i="75"/>
  <c r="E53" i="75"/>
  <c r="E45" i="75"/>
  <c r="D6" i="41"/>
  <c r="E6" i="41" s="1"/>
  <c r="D7" i="41"/>
  <c r="E7" i="41" s="1"/>
  <c r="D4" i="41"/>
  <c r="E4" i="41" s="1"/>
  <c r="E46" i="75"/>
  <c r="E44" i="75"/>
  <c r="E43" i="75"/>
  <c r="E117" i="75"/>
  <c r="E83" i="75"/>
  <c r="G74" i="56"/>
  <c r="G78" i="56" s="1"/>
  <c r="G86" i="56" s="1"/>
  <c r="G87" i="56" s="1"/>
  <c r="H74" i="56"/>
  <c r="H78" i="56" s="1"/>
  <c r="H86" i="56" s="1"/>
  <c r="H87" i="56" s="1"/>
  <c r="H30" i="56"/>
  <c r="H32" i="56" s="1"/>
  <c r="G30" i="56"/>
  <c r="G32" i="56" s="1"/>
  <c r="H23" i="56"/>
  <c r="G23" i="56"/>
  <c r="H14" i="56"/>
  <c r="G14" i="56"/>
  <c r="E54" i="77" l="1"/>
  <c r="E56" i="77" s="1"/>
  <c r="E60" i="77" s="1"/>
  <c r="E64" i="77" s="1"/>
  <c r="E66" i="77" s="1"/>
  <c r="E68" i="77" s="1"/>
  <c r="E95" i="77"/>
  <c r="E131" i="77"/>
  <c r="E107" i="77"/>
  <c r="E119" i="77"/>
  <c r="E107" i="75"/>
  <c r="E95" i="75"/>
  <c r="E48" i="75"/>
  <c r="E55" i="75" s="1"/>
  <c r="E56" i="75" s="1"/>
  <c r="E60" i="75" s="1"/>
  <c r="E119" i="75"/>
  <c r="E131" i="75"/>
  <c r="G62" i="56"/>
  <c r="G83" i="56" s="1"/>
  <c r="G84" i="56" s="1"/>
  <c r="H62" i="56"/>
  <c r="H83" i="56" s="1"/>
  <c r="H84" i="56" s="1"/>
  <c r="E134" i="77" l="1"/>
  <c r="E159" i="77" s="1"/>
  <c r="E160" i="77" s="1"/>
  <c r="E156" i="77"/>
  <c r="E69" i="77"/>
  <c r="H89" i="56"/>
  <c r="H90" i="56" s="1"/>
  <c r="E64" i="75"/>
  <c r="E134" i="75"/>
  <c r="G89" i="56"/>
  <c r="G90" i="56" s="1"/>
  <c r="E135" i="77" l="1"/>
  <c r="E165" i="77"/>
  <c r="E166" i="77" s="1"/>
  <c r="E157" i="77"/>
  <c r="E159" i="75"/>
  <c r="E160" i="75" s="1"/>
  <c r="E135" i="75"/>
  <c r="E156" i="75" l="1"/>
  <c r="E69" i="75"/>
  <c r="E157" i="75" l="1"/>
  <c r="E165" i="75"/>
  <c r="D14" i="56" l="1"/>
  <c r="E14" i="56"/>
  <c r="F14" i="56"/>
  <c r="E23" i="56"/>
  <c r="F23" i="56"/>
  <c r="D30" i="56"/>
  <c r="D32" i="56" s="1"/>
  <c r="E30" i="56"/>
  <c r="E32" i="56" s="1"/>
  <c r="F30" i="56"/>
  <c r="D39" i="56"/>
  <c r="E39" i="56"/>
  <c r="E41" i="56" s="1"/>
  <c r="F39" i="56"/>
  <c r="F41" i="56" s="1"/>
  <c r="D48" i="56"/>
  <c r="D50" i="56" s="1"/>
  <c r="E48" i="56"/>
  <c r="E50" i="56" s="1"/>
  <c r="F48" i="56"/>
  <c r="F50" i="56" s="1"/>
  <c r="D57" i="56"/>
  <c r="E57" i="56"/>
  <c r="F57" i="56"/>
  <c r="C57" i="56"/>
  <c r="C23" i="56"/>
  <c r="C14" i="56"/>
  <c r="P187" i="55"/>
  <c r="P188" i="55"/>
  <c r="P189" i="55"/>
  <c r="P190" i="55"/>
  <c r="P191" i="55"/>
  <c r="P192" i="55"/>
  <c r="P193" i="55"/>
  <c r="P194" i="55"/>
  <c r="P195" i="55"/>
  <c r="P196" i="55"/>
  <c r="P197" i="55"/>
  <c r="P198" i="55"/>
  <c r="P199" i="55"/>
  <c r="P200" i="55"/>
  <c r="P201" i="55"/>
  <c r="P202" i="55"/>
  <c r="P203" i="55"/>
  <c r="P204" i="55"/>
  <c r="P205" i="55"/>
  <c r="P206" i="55"/>
  <c r="P207" i="55"/>
  <c r="P208" i="55"/>
  <c r="P209" i="55"/>
  <c r="P210" i="55"/>
  <c r="P211" i="55"/>
  <c r="P212" i="55"/>
  <c r="P213" i="55"/>
  <c r="P214" i="55"/>
  <c r="P215" i="55"/>
  <c r="P216" i="55"/>
  <c r="P217" i="55"/>
  <c r="P218" i="55"/>
  <c r="P219" i="55"/>
  <c r="P220" i="55"/>
  <c r="P221" i="55"/>
  <c r="P222" i="55"/>
  <c r="P223" i="55"/>
  <c r="P224" i="55"/>
  <c r="P225" i="55"/>
  <c r="P226" i="55"/>
  <c r="P227" i="55"/>
  <c r="P228" i="55"/>
  <c r="P229" i="55"/>
  <c r="P230" i="55"/>
  <c r="P231" i="55"/>
  <c r="P232" i="55"/>
  <c r="P233" i="55"/>
  <c r="P234" i="55"/>
  <c r="P235" i="55"/>
  <c r="P236" i="55"/>
  <c r="P237" i="55"/>
  <c r="P238" i="55"/>
  <c r="P239" i="55"/>
  <c r="P240" i="55"/>
  <c r="P241" i="55"/>
  <c r="P242" i="55"/>
  <c r="P243" i="55"/>
  <c r="P244" i="55"/>
  <c r="P245" i="55"/>
  <c r="P246" i="55"/>
  <c r="Q186" i="55"/>
  <c r="P186" i="55"/>
  <c r="C30" i="56"/>
  <c r="C39" i="56"/>
  <c r="C48" i="56"/>
  <c r="D41" i="56" l="1"/>
  <c r="F32" i="56"/>
  <c r="F59" i="56"/>
  <c r="E59" i="56"/>
  <c r="E62" i="56" s="1"/>
  <c r="E83" i="56" s="1"/>
  <c r="D59" i="56"/>
  <c r="F74" i="56"/>
  <c r="F78" i="56" s="1"/>
  <c r="E74" i="56"/>
  <c r="E78" i="56" s="1"/>
  <c r="C59" i="56"/>
  <c r="C41" i="56"/>
  <c r="C50" i="56"/>
  <c r="C32" i="56"/>
  <c r="F62" i="56" l="1"/>
  <c r="F83" i="56" s="1"/>
  <c r="F84" i="56" s="1"/>
  <c r="D62" i="56"/>
  <c r="D83" i="56" s="1"/>
  <c r="D84" i="56" s="1"/>
  <c r="F86" i="56"/>
  <c r="F87" i="56" s="1"/>
  <c r="E86" i="56"/>
  <c r="E87" i="56" s="1"/>
  <c r="C62" i="56"/>
  <c r="D74" i="56"/>
  <c r="D78" i="56" s="1"/>
  <c r="D86" i="56" s="1"/>
  <c r="E84" i="56"/>
  <c r="F89" i="56" l="1"/>
  <c r="F90" i="56" s="1"/>
  <c r="E89" i="56"/>
  <c r="E90" i="56" s="1"/>
  <c r="D87" i="56"/>
  <c r="D89" i="56"/>
  <c r="D90" i="56" s="1"/>
  <c r="C74" i="56" l="1"/>
  <c r="C78" i="56" s="1"/>
  <c r="C86" i="56" s="1"/>
  <c r="C87" i="56" s="1"/>
  <c r="P185" i="55"/>
  <c r="O185" i="55" s="1"/>
  <c r="P184" i="55"/>
  <c r="O184" i="55" s="1"/>
  <c r="P183" i="55"/>
  <c r="O183" i="55" s="1"/>
  <c r="P182" i="55"/>
  <c r="O243" i="55" s="1"/>
  <c r="P181" i="55"/>
  <c r="O181" i="55" s="1"/>
  <c r="P180" i="55"/>
  <c r="O180" i="55" s="1"/>
  <c r="P179" i="55"/>
  <c r="O179" i="55" s="1"/>
  <c r="P178" i="55"/>
  <c r="O178" i="55" s="1"/>
  <c r="P177" i="55"/>
  <c r="O177" i="55" s="1"/>
  <c r="P176" i="55"/>
  <c r="O176" i="55" s="1"/>
  <c r="P175" i="55"/>
  <c r="O175" i="55" s="1"/>
  <c r="P174" i="55"/>
  <c r="O174" i="55" s="1"/>
  <c r="P173" i="55"/>
  <c r="O173" i="55" s="1"/>
  <c r="P172" i="55"/>
  <c r="O172" i="55" s="1"/>
  <c r="P171" i="55"/>
  <c r="O171" i="55" s="1"/>
  <c r="P170" i="55"/>
  <c r="O170" i="55" s="1"/>
  <c r="P169" i="55"/>
  <c r="O230" i="55" s="1"/>
  <c r="P168" i="55"/>
  <c r="O168" i="55" s="1"/>
  <c r="P167" i="55"/>
  <c r="O167" i="55" s="1"/>
  <c r="P166" i="55"/>
  <c r="O166" i="55" s="1"/>
  <c r="P165" i="55"/>
  <c r="O165" i="55" s="1"/>
  <c r="P164" i="55"/>
  <c r="O164" i="55" s="1"/>
  <c r="P163" i="55"/>
  <c r="O163" i="55" s="1"/>
  <c r="P162" i="55"/>
  <c r="O162" i="55" s="1"/>
  <c r="P161" i="55"/>
  <c r="O161" i="55" s="1"/>
  <c r="P160" i="55"/>
  <c r="O160" i="55" s="1"/>
  <c r="P159" i="55"/>
  <c r="O159" i="55" s="1"/>
  <c r="P158" i="55"/>
  <c r="O158" i="55" s="1"/>
  <c r="P157" i="55"/>
  <c r="O157" i="55" s="1"/>
  <c r="P156" i="55"/>
  <c r="O156" i="55" s="1"/>
  <c r="P155" i="55"/>
  <c r="O155" i="55" s="1"/>
  <c r="P154" i="55"/>
  <c r="O154" i="55" s="1"/>
  <c r="P153" i="55"/>
  <c r="O153" i="55" s="1"/>
  <c r="P152" i="55"/>
  <c r="O152" i="55" s="1"/>
  <c r="P151" i="55"/>
  <c r="O151" i="55" s="1"/>
  <c r="P150" i="55"/>
  <c r="O150" i="55" s="1"/>
  <c r="P149" i="55"/>
  <c r="O210" i="55" s="1"/>
  <c r="O149" i="55"/>
  <c r="P148" i="55"/>
  <c r="O148" i="55" s="1"/>
  <c r="P147" i="55"/>
  <c r="O147" i="55" s="1"/>
  <c r="P146" i="55"/>
  <c r="O146" i="55" s="1"/>
  <c r="P145" i="55"/>
  <c r="O145" i="55" s="1"/>
  <c r="P144" i="55"/>
  <c r="O205" i="55" s="1"/>
  <c r="P143" i="55"/>
  <c r="O143" i="55" s="1"/>
  <c r="P142" i="55"/>
  <c r="O142" i="55" s="1"/>
  <c r="P141" i="55"/>
  <c r="O141" i="55" s="1"/>
  <c r="P140" i="55"/>
  <c r="O140" i="55" s="1"/>
  <c r="P139" i="55"/>
  <c r="O139" i="55" s="1"/>
  <c r="P138" i="55"/>
  <c r="O138" i="55" s="1"/>
  <c r="P137" i="55"/>
  <c r="O137" i="55" s="1"/>
  <c r="P136" i="55"/>
  <c r="O136" i="55" s="1"/>
  <c r="P135" i="55"/>
  <c r="O135" i="55" s="1"/>
  <c r="P134" i="55"/>
  <c r="O134" i="55" s="1"/>
  <c r="P133" i="55"/>
  <c r="O133" i="55" s="1"/>
  <c r="P132" i="55"/>
  <c r="O132" i="55" s="1"/>
  <c r="P131" i="55"/>
  <c r="O131" i="55" s="1"/>
  <c r="P130" i="55"/>
  <c r="O130" i="55" s="1"/>
  <c r="P129" i="55"/>
  <c r="O129" i="55" s="1"/>
  <c r="P128" i="55"/>
  <c r="O128" i="55" s="1"/>
  <c r="P127" i="55"/>
  <c r="O127" i="55" s="1"/>
  <c r="P126" i="55"/>
  <c r="O126" i="55" s="1"/>
  <c r="P125" i="55"/>
  <c r="O125" i="55" s="1"/>
  <c r="P124" i="55"/>
  <c r="O124" i="55" s="1"/>
  <c r="P123" i="55"/>
  <c r="O123" i="55" s="1"/>
  <c r="P122" i="55"/>
  <c r="O122" i="55" s="1"/>
  <c r="P121" i="55"/>
  <c r="O121" i="55" s="1"/>
  <c r="P120" i="55"/>
  <c r="O120" i="55" s="1"/>
  <c r="P119" i="55"/>
  <c r="O119" i="55" s="1"/>
  <c r="P118" i="55"/>
  <c r="O118" i="55" s="1"/>
  <c r="P117" i="55"/>
  <c r="O117" i="55" s="1"/>
  <c r="P116" i="55"/>
  <c r="O116" i="55" s="1"/>
  <c r="P115" i="55"/>
  <c r="O115" i="55" s="1"/>
  <c r="P114" i="55"/>
  <c r="O114" i="55" s="1"/>
  <c r="P113" i="55"/>
  <c r="O113" i="55" s="1"/>
  <c r="P112" i="55"/>
  <c r="O112" i="55" s="1"/>
  <c r="P111" i="55"/>
  <c r="O111" i="55" s="1"/>
  <c r="P110" i="55"/>
  <c r="O110" i="55" s="1"/>
  <c r="P109" i="55"/>
  <c r="O109" i="55" s="1"/>
  <c r="P108" i="55"/>
  <c r="O108" i="55" s="1"/>
  <c r="P107" i="55"/>
  <c r="O107" i="55" s="1"/>
  <c r="P106" i="55"/>
  <c r="O106" i="55" s="1"/>
  <c r="P105" i="55"/>
  <c r="O105" i="55" s="1"/>
  <c r="P104" i="55"/>
  <c r="O104" i="55" s="1"/>
  <c r="P103" i="55"/>
  <c r="O103" i="55" s="1"/>
  <c r="P102" i="55"/>
  <c r="O102" i="55" s="1"/>
  <c r="P101" i="55"/>
  <c r="O101" i="55" s="1"/>
  <c r="P100" i="55"/>
  <c r="O100" i="55" s="1"/>
  <c r="P99" i="55"/>
  <c r="O99" i="55" s="1"/>
  <c r="P98" i="55"/>
  <c r="O98" i="55" s="1"/>
  <c r="P97" i="55"/>
  <c r="O97" i="55" s="1"/>
  <c r="P96" i="55"/>
  <c r="O96" i="55" s="1"/>
  <c r="P95" i="55"/>
  <c r="O95" i="55" s="1"/>
  <c r="P94" i="55"/>
  <c r="O94" i="55" s="1"/>
  <c r="P93" i="55"/>
  <c r="O93" i="55" s="1"/>
  <c r="P92" i="55"/>
  <c r="O92" i="55" s="1"/>
  <c r="P91" i="55"/>
  <c r="O91" i="55" s="1"/>
  <c r="P90" i="55"/>
  <c r="O90" i="55" s="1"/>
  <c r="P89" i="55"/>
  <c r="O89" i="55" s="1"/>
  <c r="P88" i="55"/>
  <c r="O88" i="55" s="1"/>
  <c r="P87" i="55"/>
  <c r="O87" i="55" s="1"/>
  <c r="P86" i="55"/>
  <c r="O86" i="55" s="1"/>
  <c r="P85" i="55"/>
  <c r="O85" i="55" s="1"/>
  <c r="P84" i="55"/>
  <c r="O84" i="55" s="1"/>
  <c r="P83" i="55"/>
  <c r="O83" i="55" s="1"/>
  <c r="P82" i="55"/>
  <c r="O82" i="55" s="1"/>
  <c r="P81" i="55"/>
  <c r="O81" i="55" s="1"/>
  <c r="P80" i="55"/>
  <c r="O80" i="55" s="1"/>
  <c r="P79" i="55"/>
  <c r="O79" i="55" s="1"/>
  <c r="P78" i="55"/>
  <c r="O78" i="55" s="1"/>
  <c r="P77" i="55"/>
  <c r="O77" i="55" s="1"/>
  <c r="P76" i="55"/>
  <c r="O76" i="55" s="1"/>
  <c r="P75" i="55"/>
  <c r="O75" i="55" s="1"/>
  <c r="O74" i="55"/>
  <c r="P73" i="55"/>
  <c r="O73" i="55" s="1"/>
  <c r="P72" i="55"/>
  <c r="O72" i="55" s="1"/>
  <c r="P71" i="55"/>
  <c r="O71" i="55" s="1"/>
  <c r="P70" i="55"/>
  <c r="O70" i="55" s="1"/>
  <c r="P69" i="55"/>
  <c r="O69" i="55" s="1"/>
  <c r="P68" i="55"/>
  <c r="O68" i="55" s="1"/>
  <c r="P67" i="55"/>
  <c r="O67" i="55" s="1"/>
  <c r="P66" i="55"/>
  <c r="O66" i="55" s="1"/>
  <c r="P65" i="55"/>
  <c r="O65" i="55" s="1"/>
  <c r="P64" i="55"/>
  <c r="O64" i="55" s="1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P10" i="43"/>
  <c r="P11" i="43"/>
  <c r="P12" i="43"/>
  <c r="P13" i="43"/>
  <c r="P14" i="43"/>
  <c r="P4" i="43"/>
  <c r="P5" i="43"/>
  <c r="P6" i="43"/>
  <c r="P7" i="43"/>
  <c r="P8" i="43"/>
  <c r="P9" i="43"/>
  <c r="P3" i="43"/>
  <c r="P15" i="43"/>
  <c r="P16" i="43"/>
  <c r="P17" i="43"/>
  <c r="P18" i="43"/>
  <c r="P19" i="43"/>
  <c r="P20" i="43"/>
  <c r="P21" i="43"/>
  <c r="P22" i="43"/>
  <c r="P23" i="43"/>
  <c r="P24" i="43"/>
  <c r="P25" i="43"/>
  <c r="P26" i="43"/>
  <c r="P27" i="43"/>
  <c r="P28" i="43"/>
  <c r="P29" i="43"/>
  <c r="P30" i="43"/>
  <c r="P31" i="43"/>
  <c r="P32" i="43"/>
  <c r="P33" i="43"/>
  <c r="P34" i="43"/>
  <c r="P35" i="43"/>
  <c r="P36" i="43"/>
  <c r="P37" i="43"/>
  <c r="P38" i="43"/>
  <c r="P39" i="43"/>
  <c r="P40" i="43"/>
  <c r="P41" i="43"/>
  <c r="P42" i="43"/>
  <c r="P43" i="43"/>
  <c r="P44" i="43"/>
  <c r="P45" i="43"/>
  <c r="P46" i="43"/>
  <c r="P47" i="43"/>
  <c r="P48" i="43"/>
  <c r="P49" i="43"/>
  <c r="P50" i="43"/>
  <c r="P51" i="43"/>
  <c r="P52" i="43"/>
  <c r="P53" i="43"/>
  <c r="P54" i="43"/>
  <c r="P55" i="43"/>
  <c r="P56" i="43"/>
  <c r="P57" i="43"/>
  <c r="P58" i="43"/>
  <c r="P59" i="43"/>
  <c r="P60" i="43"/>
  <c r="P61" i="43"/>
  <c r="P62" i="43"/>
  <c r="P63" i="43"/>
  <c r="P64" i="43"/>
  <c r="P65" i="43"/>
  <c r="P66" i="43"/>
  <c r="P67" i="43"/>
  <c r="P68" i="43"/>
  <c r="P69" i="43"/>
  <c r="P70" i="43"/>
  <c r="P71" i="43"/>
  <c r="P72" i="43"/>
  <c r="P73" i="43"/>
  <c r="P74" i="43"/>
  <c r="P75" i="43"/>
  <c r="P76" i="43"/>
  <c r="P77" i="43"/>
  <c r="P78" i="43"/>
  <c r="P79" i="43"/>
  <c r="P80" i="43"/>
  <c r="P81" i="43"/>
  <c r="P82" i="43"/>
  <c r="P83" i="43"/>
  <c r="P84" i="43"/>
  <c r="P85" i="43"/>
  <c r="P86" i="43"/>
  <c r="P87" i="43"/>
  <c r="P88" i="43"/>
  <c r="P89" i="43"/>
  <c r="P90" i="43"/>
  <c r="P91" i="43"/>
  <c r="P92" i="43"/>
  <c r="P93" i="43"/>
  <c r="P94" i="43"/>
  <c r="P95" i="43"/>
  <c r="P96" i="43"/>
  <c r="P97" i="43"/>
  <c r="P98" i="43"/>
  <c r="P99" i="43"/>
  <c r="P100" i="43"/>
  <c r="P101" i="43"/>
  <c r="P102" i="43"/>
  <c r="P103" i="43"/>
  <c r="P104" i="43"/>
  <c r="P105" i="43"/>
  <c r="P106" i="43"/>
  <c r="P107" i="43"/>
  <c r="P108" i="43"/>
  <c r="P109" i="43"/>
  <c r="P110" i="43"/>
  <c r="P111" i="43"/>
  <c r="P112" i="43"/>
  <c r="P113" i="43"/>
  <c r="P114" i="43"/>
  <c r="P115" i="43"/>
  <c r="P116" i="43"/>
  <c r="P117" i="43"/>
  <c r="P118" i="43"/>
  <c r="P119" i="43"/>
  <c r="P120" i="43"/>
  <c r="P121" i="43"/>
  <c r="P122" i="43"/>
  <c r="P123" i="43"/>
  <c r="P124" i="43"/>
  <c r="P125" i="43"/>
  <c r="P126" i="43"/>
  <c r="P127" i="43"/>
  <c r="P128" i="43"/>
  <c r="P129" i="43"/>
  <c r="P130" i="43"/>
  <c r="P131" i="43"/>
  <c r="P132" i="43"/>
  <c r="P133" i="43"/>
  <c r="P134" i="43"/>
  <c r="P135" i="43"/>
  <c r="P136" i="43"/>
  <c r="P137" i="43"/>
  <c r="P138" i="43"/>
  <c r="P139" i="43"/>
  <c r="P140" i="43"/>
  <c r="P141" i="43"/>
  <c r="P142" i="43"/>
  <c r="P143" i="43"/>
  <c r="P144" i="43"/>
  <c r="P145" i="43"/>
  <c r="P146" i="43"/>
  <c r="P147" i="43"/>
  <c r="P148" i="43"/>
  <c r="P149" i="43"/>
  <c r="P150" i="43"/>
  <c r="P151" i="43"/>
  <c r="P152" i="43"/>
  <c r="P153" i="43"/>
  <c r="P154" i="43"/>
  <c r="P155" i="43"/>
  <c r="P156" i="43"/>
  <c r="P157" i="43"/>
  <c r="P158" i="43"/>
  <c r="P159" i="43"/>
  <c r="P160" i="43"/>
  <c r="P161" i="43"/>
  <c r="P162" i="43"/>
  <c r="P163" i="43"/>
  <c r="P164" i="43"/>
  <c r="P165" i="43"/>
  <c r="P166" i="43"/>
  <c r="P167" i="43"/>
  <c r="P168" i="43"/>
  <c r="P169" i="43"/>
  <c r="P170" i="43"/>
  <c r="P171" i="43"/>
  <c r="P172" i="43"/>
  <c r="P173" i="43"/>
  <c r="P174" i="43"/>
  <c r="P175" i="43"/>
  <c r="P176" i="43"/>
  <c r="P177" i="43"/>
  <c r="P178" i="43"/>
  <c r="P179" i="43"/>
  <c r="P180" i="43"/>
  <c r="P181" i="43"/>
  <c r="P182" i="43"/>
  <c r="P183" i="43"/>
  <c r="P184" i="43"/>
  <c r="P185" i="43"/>
  <c r="P186" i="43"/>
  <c r="P187" i="43"/>
  <c r="P188" i="43"/>
  <c r="P189" i="43"/>
  <c r="P190" i="43"/>
  <c r="P191" i="43"/>
  <c r="P192" i="43"/>
  <c r="P193" i="43"/>
  <c r="P194" i="43"/>
  <c r="P195" i="43"/>
  <c r="P196" i="43"/>
  <c r="P197" i="43"/>
  <c r="P198" i="43"/>
  <c r="P199" i="43"/>
  <c r="P200" i="43"/>
  <c r="P201" i="43"/>
  <c r="P202" i="43"/>
  <c r="P203" i="43"/>
  <c r="P204" i="43"/>
  <c r="P205" i="43"/>
  <c r="P206" i="43"/>
  <c r="P207" i="43"/>
  <c r="P208" i="43"/>
  <c r="P209" i="43"/>
  <c r="P210" i="43"/>
  <c r="P211" i="43"/>
  <c r="P212" i="43"/>
  <c r="P213" i="43"/>
  <c r="P214" i="43"/>
  <c r="P215" i="43"/>
  <c r="P216" i="43"/>
  <c r="P217" i="43"/>
  <c r="P218" i="43"/>
  <c r="P219" i="43"/>
  <c r="P220" i="43"/>
  <c r="P221" i="43"/>
  <c r="P222" i="43"/>
  <c r="P223" i="43"/>
  <c r="P224" i="43"/>
  <c r="P225" i="43"/>
  <c r="P226" i="43"/>
  <c r="P227" i="43"/>
  <c r="P228" i="43"/>
  <c r="P229" i="43"/>
  <c r="P230" i="43"/>
  <c r="P231" i="43"/>
  <c r="P232" i="43"/>
  <c r="P233" i="43"/>
  <c r="P234" i="43"/>
  <c r="P235" i="43"/>
  <c r="P236" i="43"/>
  <c r="P237" i="43"/>
  <c r="P238" i="43"/>
  <c r="P239" i="43"/>
  <c r="P240" i="43"/>
  <c r="P241" i="43"/>
  <c r="P242" i="43"/>
  <c r="P243" i="43"/>
  <c r="P244" i="43"/>
  <c r="P245" i="43"/>
  <c r="P246" i="43"/>
  <c r="P247" i="43"/>
  <c r="P248" i="43"/>
  <c r="P249" i="43"/>
  <c r="P250" i="43"/>
  <c r="P251" i="43"/>
  <c r="P252" i="43"/>
  <c r="P253" i="43"/>
  <c r="P254" i="43"/>
  <c r="P255" i="43"/>
  <c r="P256" i="43"/>
  <c r="P257" i="43"/>
  <c r="P258" i="43"/>
  <c r="P259" i="43"/>
  <c r="P260" i="43"/>
  <c r="P261" i="43"/>
  <c r="P262" i="43"/>
  <c r="P263" i="43"/>
  <c r="P264" i="43"/>
  <c r="P265" i="43"/>
  <c r="P266" i="43"/>
  <c r="P267" i="43"/>
  <c r="P268" i="43"/>
  <c r="P269" i="43"/>
  <c r="P270" i="43"/>
  <c r="P271" i="43"/>
  <c r="P272" i="43"/>
  <c r="P273" i="43"/>
  <c r="P274" i="43"/>
  <c r="P275" i="43"/>
  <c r="P276" i="43"/>
  <c r="P277" i="43"/>
  <c r="P278" i="43"/>
  <c r="P279" i="43"/>
  <c r="P280" i="43"/>
  <c r="P281" i="43"/>
  <c r="P282" i="43"/>
  <c r="P283" i="43"/>
  <c r="P284" i="43"/>
  <c r="P285" i="43"/>
  <c r="P286" i="43"/>
  <c r="P287" i="43"/>
  <c r="P288" i="43"/>
  <c r="P289" i="43"/>
  <c r="P290" i="43"/>
  <c r="P291" i="43"/>
  <c r="P292" i="43"/>
  <c r="P293" i="43"/>
  <c r="P294" i="43"/>
  <c r="P295" i="43"/>
  <c r="P296" i="43"/>
  <c r="P297" i="43"/>
  <c r="P298" i="43"/>
  <c r="P299" i="43"/>
  <c r="P300" i="43"/>
  <c r="P301" i="43"/>
  <c r="P302" i="43"/>
  <c r="P303" i="43"/>
  <c r="P304" i="43"/>
  <c r="P305" i="43"/>
  <c r="P306" i="43"/>
  <c r="P307" i="43"/>
  <c r="P308" i="43"/>
  <c r="P309" i="43"/>
  <c r="P310" i="43"/>
  <c r="P311" i="43"/>
  <c r="P312" i="43"/>
  <c r="P313" i="43"/>
  <c r="P314" i="43"/>
  <c r="P315" i="43"/>
  <c r="P316" i="43"/>
  <c r="P317" i="43"/>
  <c r="P318" i="43"/>
  <c r="P319" i="43"/>
  <c r="P320" i="43"/>
  <c r="P321" i="43"/>
  <c r="P322" i="43"/>
  <c r="P323" i="43"/>
  <c r="P324" i="43"/>
  <c r="P325" i="43"/>
  <c r="P326" i="43"/>
  <c r="P327" i="43"/>
  <c r="P328" i="43"/>
  <c r="P329" i="43"/>
  <c r="P330" i="43"/>
  <c r="P331" i="43"/>
  <c r="P332" i="43"/>
  <c r="P333" i="43"/>
  <c r="P334" i="43"/>
  <c r="P335" i="43"/>
  <c r="P336" i="43"/>
  <c r="P337" i="43"/>
  <c r="P338" i="43"/>
  <c r="P339" i="43"/>
  <c r="P340" i="43"/>
  <c r="P341" i="43"/>
  <c r="P342" i="43"/>
  <c r="P343" i="43"/>
  <c r="P344" i="43"/>
  <c r="P345" i="43"/>
  <c r="P346" i="43"/>
  <c r="P347" i="43"/>
  <c r="P348" i="43"/>
  <c r="P349" i="43"/>
  <c r="P350" i="43"/>
  <c r="P351" i="43"/>
  <c r="P352" i="43"/>
  <c r="P353" i="43"/>
  <c r="P354" i="43"/>
  <c r="P355" i="43"/>
  <c r="P356" i="43"/>
  <c r="P357" i="43"/>
  <c r="P358" i="43"/>
  <c r="P359" i="43"/>
  <c r="P360" i="43"/>
  <c r="P361" i="43"/>
  <c r="P362" i="43"/>
  <c r="P363" i="43"/>
  <c r="P364" i="43"/>
  <c r="P365" i="43"/>
  <c r="P366" i="43"/>
  <c r="P367" i="43"/>
  <c r="P368" i="43"/>
  <c r="P369" i="43"/>
  <c r="P370" i="43"/>
  <c r="P371" i="43"/>
  <c r="P372" i="43"/>
  <c r="P373" i="43"/>
  <c r="P374" i="43"/>
  <c r="P375" i="43"/>
  <c r="P376" i="43"/>
  <c r="P377" i="43"/>
  <c r="P378" i="43"/>
  <c r="P379" i="43"/>
  <c r="P380" i="43"/>
  <c r="P381" i="43"/>
  <c r="P382" i="43"/>
  <c r="P383" i="43"/>
  <c r="P384" i="43"/>
  <c r="P385" i="43"/>
  <c r="P386" i="43"/>
  <c r="P387" i="43"/>
  <c r="P388" i="43"/>
  <c r="P389" i="43"/>
  <c r="P390" i="43"/>
  <c r="P391" i="43"/>
  <c r="P392" i="43"/>
  <c r="P393" i="43"/>
  <c r="P394" i="43"/>
  <c r="P395" i="43"/>
  <c r="P396" i="43"/>
  <c r="P397" i="43"/>
  <c r="P398" i="43"/>
  <c r="P399" i="43"/>
  <c r="P400" i="43"/>
  <c r="P401" i="43"/>
  <c r="P402" i="43"/>
  <c r="P403" i="43"/>
  <c r="P404" i="43"/>
  <c r="P405" i="43"/>
  <c r="P406" i="43"/>
  <c r="P407" i="43"/>
  <c r="P408" i="43"/>
  <c r="P409" i="43"/>
  <c r="P410" i="43"/>
  <c r="P411" i="43"/>
  <c r="P412" i="43"/>
  <c r="P413" i="43"/>
  <c r="P414" i="43"/>
  <c r="P415" i="43"/>
  <c r="P416" i="43"/>
  <c r="P417" i="43"/>
  <c r="P418" i="43"/>
  <c r="P419" i="43"/>
  <c r="P420" i="43"/>
  <c r="P421" i="43"/>
  <c r="P422" i="43"/>
  <c r="P423" i="43"/>
  <c r="F8" i="14"/>
  <c r="G8" i="14"/>
  <c r="D5" i="41"/>
  <c r="E5" i="41" s="1"/>
  <c r="L131" i="43"/>
  <c r="L139" i="43"/>
  <c r="L65" i="43"/>
  <c r="D205" i="13"/>
  <c r="L23" i="43"/>
  <c r="M23" i="43" s="1"/>
  <c r="N23" i="43" s="1"/>
  <c r="I27" i="43"/>
  <c r="L27" i="43" s="1"/>
  <c r="M27" i="43" s="1"/>
  <c r="N27" i="43" s="1"/>
  <c r="I30" i="43"/>
  <c r="L30" i="43" s="1"/>
  <c r="M30" i="43" s="1"/>
  <c r="N30" i="43" s="1"/>
  <c r="I49" i="43"/>
  <c r="L49" i="43" s="1"/>
  <c r="M49" i="43" s="1"/>
  <c r="N49" i="43" s="1"/>
  <c r="I50" i="43"/>
  <c r="L50" i="43" s="1"/>
  <c r="M50" i="43" s="1"/>
  <c r="N50" i="43" s="1"/>
  <c r="L20" i="43"/>
  <c r="M20" i="43" s="1"/>
  <c r="N20" i="43" s="1"/>
  <c r="L25" i="43"/>
  <c r="O245" i="55" l="1"/>
  <c r="O232" i="55"/>
  <c r="O207" i="55"/>
  <c r="O219" i="55"/>
  <c r="O218" i="55"/>
  <c r="O217" i="55"/>
  <c r="O144" i="55"/>
  <c r="O169" i="55"/>
  <c r="O182" i="55"/>
  <c r="O223" i="55"/>
  <c r="O212" i="55"/>
  <c r="O211" i="55"/>
  <c r="O186" i="55"/>
  <c r="O239" i="55"/>
  <c r="O238" i="55"/>
  <c r="O237" i="55"/>
  <c r="O236" i="55"/>
  <c r="O231" i="55"/>
  <c r="O226" i="55"/>
  <c r="O225" i="55"/>
  <c r="O198" i="55"/>
  <c r="O197" i="55"/>
  <c r="O191" i="55"/>
  <c r="O224" i="55"/>
  <c r="O196" i="55"/>
  <c r="O222" i="55"/>
  <c r="O208" i="55"/>
  <c r="O194" i="55"/>
  <c r="O240" i="55"/>
  <c r="O195" i="55"/>
  <c r="O235" i="55"/>
  <c r="O221" i="55"/>
  <c r="O193" i="55"/>
  <c r="O209" i="55"/>
  <c r="O234" i="55"/>
  <c r="O220" i="55"/>
  <c r="O206" i="55"/>
  <c r="O192" i="55"/>
  <c r="O244" i="55"/>
  <c r="O216" i="55"/>
  <c r="O202" i="55"/>
  <c r="O188" i="55"/>
  <c r="O246" i="55"/>
  <c r="O204" i="55"/>
  <c r="O189" i="55"/>
  <c r="O229" i="55"/>
  <c r="O215" i="55"/>
  <c r="O201" i="55"/>
  <c r="O187" i="55"/>
  <c r="O233" i="55"/>
  <c r="O203" i="55"/>
  <c r="O242" i="55"/>
  <c r="O228" i="55"/>
  <c r="O214" i="55"/>
  <c r="O200" i="55"/>
  <c r="O190" i="55"/>
  <c r="O241" i="55"/>
  <c r="O227" i="55"/>
  <c r="O213" i="55"/>
  <c r="O199" i="55"/>
  <c r="C83" i="56" l="1"/>
  <c r="C84" i="56" l="1"/>
  <c r="C89" i="56"/>
  <c r="L278" i="43"/>
  <c r="M278" i="43" s="1"/>
  <c r="N278" i="43" s="1"/>
  <c r="L258" i="43"/>
  <c r="M258" i="43" s="1"/>
  <c r="N258" i="43" s="1"/>
  <c r="L232" i="43"/>
  <c r="M232" i="43" s="1"/>
  <c r="N232" i="43" s="1"/>
  <c r="L216" i="43"/>
  <c r="M216" i="43" s="1"/>
  <c r="N216" i="43" s="1"/>
  <c r="L203" i="43"/>
  <c r="M203" i="43" s="1"/>
  <c r="N203" i="43" s="1"/>
  <c r="L274" i="43"/>
  <c r="M274" i="43" s="1"/>
  <c r="N274" i="43" s="1"/>
  <c r="L254" i="43"/>
  <c r="M254" i="43" s="1"/>
  <c r="N254" i="43" s="1"/>
  <c r="L228" i="43"/>
  <c r="M228" i="43" s="1"/>
  <c r="N228" i="43" s="1"/>
  <c r="L212" i="43"/>
  <c r="M212" i="43" s="1"/>
  <c r="N212" i="43" s="1"/>
  <c r="L196" i="43"/>
  <c r="M196" i="43" s="1"/>
  <c r="N196" i="43" s="1"/>
  <c r="L277" i="43"/>
  <c r="M277" i="43" s="1"/>
  <c r="N277" i="43" s="1"/>
  <c r="L257" i="43"/>
  <c r="M257" i="43" s="1"/>
  <c r="N257" i="43" s="1"/>
  <c r="L231" i="43"/>
  <c r="M231" i="43" s="1"/>
  <c r="N231" i="43" s="1"/>
  <c r="L215" i="43"/>
  <c r="M215" i="43" s="1"/>
  <c r="N215" i="43" s="1"/>
  <c r="L199" i="43"/>
  <c r="M199" i="43" s="1"/>
  <c r="N199" i="43" s="1"/>
  <c r="L273" i="43"/>
  <c r="M273" i="43" s="1"/>
  <c r="N273" i="43" s="1"/>
  <c r="L253" i="43"/>
  <c r="M253" i="43" s="1"/>
  <c r="N253" i="43" s="1"/>
  <c r="L227" i="43"/>
  <c r="M227" i="43" s="1"/>
  <c r="N227" i="43" s="1"/>
  <c r="L211" i="43"/>
  <c r="M211" i="43" s="1"/>
  <c r="N211" i="43" s="1"/>
  <c r="L195" i="43"/>
  <c r="M195" i="43" s="1"/>
  <c r="N195" i="43" s="1"/>
  <c r="L281" i="43"/>
  <c r="M281" i="43" s="1"/>
  <c r="N281" i="43" s="1"/>
  <c r="L266" i="43"/>
  <c r="M266" i="43" s="1"/>
  <c r="N266" i="43" s="1"/>
  <c r="L240" i="43"/>
  <c r="M240" i="43" s="1"/>
  <c r="N240" i="43" s="1"/>
  <c r="L223" i="43"/>
  <c r="M223" i="43" s="1"/>
  <c r="N223" i="43" s="1"/>
  <c r="L208" i="43"/>
  <c r="M208" i="43" s="1"/>
  <c r="N208" i="43" s="1"/>
  <c r="L279" i="43"/>
  <c r="M279" i="43" s="1"/>
  <c r="N279" i="43" s="1"/>
  <c r="L268" i="43"/>
  <c r="M268" i="43" s="1"/>
  <c r="N268" i="43" s="1"/>
  <c r="L264" i="43"/>
  <c r="M264" i="43" s="1"/>
  <c r="N264" i="43" s="1"/>
  <c r="L234" i="43"/>
  <c r="M234" i="43" s="1"/>
  <c r="N234" i="43" s="1"/>
  <c r="L221" i="43"/>
  <c r="M221" i="43" s="1"/>
  <c r="N221" i="43" s="1"/>
  <c r="L205" i="43"/>
  <c r="M205" i="43" s="1"/>
  <c r="N205" i="43" s="1"/>
  <c r="L285" i="43"/>
  <c r="M285" i="43" s="1"/>
  <c r="N285" i="43" s="1"/>
  <c r="L269" i="43"/>
  <c r="M269" i="43" s="1"/>
  <c r="N269" i="43" s="1"/>
  <c r="L267" i="43"/>
  <c r="M267" i="43" s="1"/>
  <c r="N267" i="43" s="1"/>
  <c r="L242" i="43"/>
  <c r="M242" i="43" s="1"/>
  <c r="N242" i="43" s="1"/>
  <c r="L224" i="43"/>
  <c r="M224" i="43" s="1"/>
  <c r="N224" i="43" s="1"/>
  <c r="L207" i="43"/>
  <c r="M207" i="43" s="1"/>
  <c r="N207" i="43" s="1"/>
  <c r="L259" i="43"/>
  <c r="M259" i="43" s="1"/>
  <c r="N259" i="43" s="1"/>
  <c r="L249" i="43"/>
  <c r="M249" i="43" s="1"/>
  <c r="N249" i="43" s="1"/>
  <c r="L247" i="43"/>
  <c r="M247" i="43" s="1"/>
  <c r="N247" i="43" s="1"/>
  <c r="L245" i="43"/>
  <c r="M245" i="43" s="1"/>
  <c r="N245" i="43" s="1"/>
  <c r="L241" i="43"/>
  <c r="M241" i="43" s="1"/>
  <c r="N241" i="43" s="1"/>
  <c r="L237" i="43"/>
  <c r="M237" i="43" s="1"/>
  <c r="N237" i="43" s="1"/>
  <c r="L189" i="43"/>
  <c r="M189" i="43" s="1"/>
  <c r="N189" i="43" s="1"/>
  <c r="L169" i="43"/>
  <c r="M169" i="43" s="1"/>
  <c r="N169" i="43" s="1"/>
  <c r="L150" i="43"/>
  <c r="M150" i="43" s="1"/>
  <c r="N150" i="43" s="1"/>
  <c r="L126" i="43"/>
  <c r="M126" i="43" s="1"/>
  <c r="N126" i="43" s="1"/>
  <c r="L107" i="43"/>
  <c r="M107" i="43" s="1"/>
  <c r="N107" i="43" s="1"/>
  <c r="L185" i="43"/>
  <c r="M185" i="43" s="1"/>
  <c r="N185" i="43" s="1"/>
  <c r="L164" i="43"/>
  <c r="M164" i="43" s="1"/>
  <c r="N164" i="43" s="1"/>
  <c r="L146" i="43"/>
  <c r="M146" i="43" s="1"/>
  <c r="N146" i="43" s="1"/>
  <c r="L122" i="43"/>
  <c r="M122" i="43" s="1"/>
  <c r="N122" i="43" s="1"/>
  <c r="L106" i="43"/>
  <c r="M106" i="43" s="1"/>
  <c r="N106" i="43" s="1"/>
  <c r="L188" i="43"/>
  <c r="M188" i="43" s="1"/>
  <c r="N188" i="43" s="1"/>
  <c r="L168" i="43"/>
  <c r="M168" i="43" s="1"/>
  <c r="N168" i="43" s="1"/>
  <c r="L149" i="43"/>
  <c r="M149" i="43" s="1"/>
  <c r="N149" i="43" s="1"/>
  <c r="L125" i="43"/>
  <c r="M125" i="43" s="1"/>
  <c r="N125" i="43" s="1"/>
  <c r="L110" i="43"/>
  <c r="M110" i="43" s="1"/>
  <c r="N110" i="43" s="1"/>
  <c r="L184" i="43"/>
  <c r="M184" i="43" s="1"/>
  <c r="N184" i="43" s="1"/>
  <c r="L163" i="43"/>
  <c r="M163" i="43" s="1"/>
  <c r="N163" i="43" s="1"/>
  <c r="L145" i="43"/>
  <c r="M145" i="43" s="1"/>
  <c r="N145" i="43" s="1"/>
  <c r="L121" i="43"/>
  <c r="M121" i="43" s="1"/>
  <c r="N121" i="43" s="1"/>
  <c r="L105" i="43"/>
  <c r="M105" i="43" s="1"/>
  <c r="N105" i="43" s="1"/>
  <c r="L190" i="43"/>
  <c r="M190" i="43" s="1"/>
  <c r="N190" i="43" s="1"/>
  <c r="L173" i="43"/>
  <c r="M173" i="43" s="1"/>
  <c r="N173" i="43" s="1"/>
  <c r="L157" i="43"/>
  <c r="M157" i="43" s="1"/>
  <c r="N157" i="43" s="1"/>
  <c r="L130" i="43"/>
  <c r="M130" i="43" s="1"/>
  <c r="N130" i="43" s="1"/>
  <c r="L114" i="43"/>
  <c r="M114" i="43" s="1"/>
  <c r="N114" i="43" s="1"/>
  <c r="L191" i="43"/>
  <c r="M191" i="43" s="1"/>
  <c r="N191" i="43" s="1"/>
  <c r="L175" i="43"/>
  <c r="M175" i="43" s="1"/>
  <c r="N175" i="43" s="1"/>
  <c r="L171" i="43"/>
  <c r="M171" i="43" s="1"/>
  <c r="N171" i="43" s="1"/>
  <c r="L154" i="43"/>
  <c r="M154" i="43" s="1"/>
  <c r="N154" i="43" s="1"/>
  <c r="L128" i="43"/>
  <c r="M128" i="43" s="1"/>
  <c r="N128" i="43" s="1"/>
  <c r="L112" i="43"/>
  <c r="M112" i="43" s="1"/>
  <c r="N112" i="43" s="1"/>
  <c r="L192" i="43"/>
  <c r="M192" i="43" s="1"/>
  <c r="N192" i="43" s="1"/>
  <c r="L176" i="43"/>
  <c r="M176" i="43" s="1"/>
  <c r="N176" i="43" s="1"/>
  <c r="L174" i="43"/>
  <c r="M174" i="43" s="1"/>
  <c r="N174" i="43" s="1"/>
  <c r="L159" i="43"/>
  <c r="M159" i="43" s="1"/>
  <c r="N159" i="43" s="1"/>
  <c r="L133" i="43"/>
  <c r="M133" i="43" s="1"/>
  <c r="N133" i="43" s="1"/>
  <c r="L115" i="43"/>
  <c r="M115" i="43" s="1"/>
  <c r="N115" i="43" s="1"/>
  <c r="L155" i="43"/>
  <c r="M155" i="43" s="1"/>
  <c r="N155" i="43" s="1"/>
  <c r="L151" i="43"/>
  <c r="M151" i="43" s="1"/>
  <c r="N151" i="43" s="1"/>
  <c r="L142" i="43"/>
  <c r="M142" i="43" s="1"/>
  <c r="N142" i="43" s="1"/>
  <c r="L140" i="43"/>
  <c r="M140" i="43" s="1"/>
  <c r="N140" i="43" s="1"/>
  <c r="L135" i="43"/>
  <c r="M135" i="43" s="1"/>
  <c r="N135" i="43" s="1"/>
  <c r="L132" i="43"/>
  <c r="M132" i="43" s="1"/>
  <c r="N132" i="43" s="1"/>
  <c r="L101" i="43"/>
  <c r="M101" i="43" s="1"/>
  <c r="N101" i="43" s="1"/>
  <c r="L85" i="43"/>
  <c r="M85" i="43" s="1"/>
  <c r="N85" i="43" s="1"/>
  <c r="L82" i="43"/>
  <c r="M82" i="43" s="1"/>
  <c r="N82" i="43" s="1"/>
  <c r="L66" i="43"/>
  <c r="M66" i="43" s="1"/>
  <c r="N66" i="43" s="1"/>
  <c r="L47" i="43"/>
  <c r="M47" i="43" s="1"/>
  <c r="N47" i="43" s="1"/>
  <c r="L18" i="43"/>
  <c r="M18" i="43" s="1"/>
  <c r="N18" i="43" s="1"/>
  <c r="L102" i="43"/>
  <c r="M102" i="43" s="1"/>
  <c r="N102" i="43" s="1"/>
  <c r="L96" i="43"/>
  <c r="L77" i="43"/>
  <c r="L63" i="43"/>
  <c r="L92" i="43"/>
  <c r="L72" i="43"/>
  <c r="L59" i="43"/>
  <c r="L95" i="43"/>
  <c r="L75" i="43"/>
  <c r="L62" i="43"/>
  <c r="L91" i="43"/>
  <c r="L71" i="43"/>
  <c r="L58" i="43"/>
  <c r="L100" i="43"/>
  <c r="L79" i="43"/>
  <c r="L67" i="43"/>
  <c r="L86" i="43"/>
  <c r="L83" i="43"/>
  <c r="L68" i="43"/>
  <c r="L51" i="43"/>
  <c r="L31" i="43"/>
  <c r="L29" i="43"/>
  <c r="L26" i="43"/>
  <c r="L385" i="43"/>
  <c r="L284" i="43"/>
  <c r="L202" i="43"/>
  <c r="L364" i="43"/>
  <c r="L263" i="43"/>
  <c r="L181" i="43"/>
  <c r="L421" i="43"/>
  <c r="L328" i="43"/>
  <c r="L248" i="43"/>
  <c r="L400" i="43"/>
  <c r="L304" i="43"/>
  <c r="L220" i="43"/>
  <c r="L423" i="43"/>
  <c r="L419" i="43"/>
  <c r="L412" i="43"/>
  <c r="L384" i="43"/>
  <c r="L283" i="43"/>
  <c r="L201" i="43"/>
  <c r="L363" i="43"/>
  <c r="L262" i="43"/>
  <c r="L180" i="43"/>
  <c r="L414" i="43"/>
  <c r="L324" i="43"/>
  <c r="L244" i="43"/>
  <c r="L399" i="43"/>
  <c r="L303" i="43"/>
  <c r="L219" i="43"/>
  <c r="L349" i="43"/>
  <c r="L343" i="43"/>
  <c r="L340" i="43"/>
  <c r="L383" i="43"/>
  <c r="L282" i="43"/>
  <c r="L200" i="43"/>
  <c r="L362" i="43"/>
  <c r="L261" i="43"/>
  <c r="L179" i="43"/>
  <c r="L410" i="43"/>
  <c r="L317" i="43"/>
  <c r="L236" i="43"/>
  <c r="L398" i="43"/>
  <c r="L302" i="43"/>
  <c r="L218" i="43"/>
  <c r="L326" i="43"/>
  <c r="L319" i="43"/>
  <c r="L315" i="43"/>
  <c r="L411" i="43"/>
  <c r="L402" i="43"/>
  <c r="L393" i="43"/>
  <c r="L407" i="43"/>
  <c r="L397" i="43"/>
  <c r="L391" i="43"/>
  <c r="L409" i="43"/>
  <c r="L401" i="43"/>
  <c r="L392" i="43"/>
  <c r="L406" i="43"/>
  <c r="L396" i="43"/>
  <c r="L390" i="43"/>
  <c r="L420" i="43"/>
  <c r="L405" i="43"/>
  <c r="L395" i="43"/>
  <c r="L415" i="43"/>
  <c r="L403" i="43"/>
  <c r="L394" i="43"/>
  <c r="L422" i="43"/>
  <c r="L418" i="43"/>
  <c r="L417" i="43"/>
  <c r="L372" i="43"/>
  <c r="L358" i="43"/>
  <c r="L352" i="43"/>
  <c r="L370" i="43"/>
  <c r="L356" i="43"/>
  <c r="L350" i="43"/>
  <c r="L371" i="43"/>
  <c r="L357" i="43"/>
  <c r="L351" i="43"/>
  <c r="L369" i="43"/>
  <c r="L355" i="43"/>
  <c r="L348" i="43"/>
  <c r="L374" i="43"/>
  <c r="L360" i="43"/>
  <c r="L354" i="43"/>
  <c r="L373" i="43"/>
  <c r="L359" i="43"/>
  <c r="L353" i="43"/>
  <c r="L368" i="43"/>
  <c r="L367" i="43"/>
  <c r="L366" i="43"/>
  <c r="L329" i="43"/>
  <c r="L312" i="43"/>
  <c r="L305" i="43"/>
  <c r="L325" i="43"/>
  <c r="L309" i="43"/>
  <c r="L300" i="43"/>
  <c r="L327" i="43"/>
  <c r="L310" i="43"/>
  <c r="L301" i="43"/>
  <c r="L323" i="43"/>
  <c r="L308" i="43"/>
  <c r="L299" i="43"/>
  <c r="L332" i="43"/>
  <c r="L320" i="43"/>
  <c r="L307" i="43"/>
  <c r="L331" i="43"/>
  <c r="L314" i="43"/>
  <c r="L306" i="43"/>
  <c r="L322" i="43"/>
  <c r="L321" i="43"/>
  <c r="L318" i="43"/>
  <c r="L276" i="43"/>
  <c r="L256" i="43"/>
  <c r="L230" i="43"/>
  <c r="L272" i="43"/>
  <c r="L252" i="43"/>
  <c r="L226" i="43"/>
  <c r="L275" i="43"/>
  <c r="L255" i="43"/>
  <c r="L229" i="43"/>
  <c r="L271" i="43"/>
  <c r="L251" i="43"/>
  <c r="L225" i="43"/>
  <c r="L280" i="43"/>
  <c r="L265" i="43"/>
  <c r="L238" i="43"/>
  <c r="L270" i="43"/>
  <c r="L260" i="43"/>
  <c r="L233" i="43"/>
  <c r="L250" i="43"/>
  <c r="L246" i="43"/>
  <c r="L243" i="43"/>
  <c r="L187" i="43"/>
  <c r="L167" i="43"/>
  <c r="L148" i="43"/>
  <c r="L183" i="43"/>
  <c r="L161" i="43"/>
  <c r="L144" i="43"/>
  <c r="L186" i="43"/>
  <c r="L165" i="43"/>
  <c r="L147" i="43"/>
  <c r="L182" i="43"/>
  <c r="L160" i="43"/>
  <c r="L143" i="43"/>
  <c r="L177" i="43"/>
  <c r="L172" i="43"/>
  <c r="L156" i="43"/>
  <c r="M156" i="43" s="1"/>
  <c r="L178" i="43"/>
  <c r="L170" i="43"/>
  <c r="L153" i="43"/>
  <c r="L152" i="43"/>
  <c r="L141" i="43"/>
  <c r="M139" i="43"/>
  <c r="N139" i="43" s="1"/>
  <c r="L94" i="43"/>
  <c r="L74" i="43"/>
  <c r="L61" i="43"/>
  <c r="L90" i="43"/>
  <c r="L70" i="43"/>
  <c r="L57" i="43"/>
  <c r="L93" i="43"/>
  <c r="L73" i="43"/>
  <c r="L60" i="43"/>
  <c r="L89" i="43"/>
  <c r="L69" i="43"/>
  <c r="L53" i="43"/>
  <c r="L87" i="43"/>
  <c r="L78" i="43"/>
  <c r="L64" i="43"/>
  <c r="L88" i="43"/>
  <c r="L81" i="43"/>
  <c r="L45" i="43"/>
  <c r="L43" i="43"/>
  <c r="L28" i="43"/>
  <c r="L113" i="43"/>
  <c r="L134" i="43"/>
  <c r="M131" i="43"/>
  <c r="N131" i="43" s="1"/>
  <c r="C90" i="56" l="1"/>
  <c r="L42" i="43"/>
  <c r="M42" i="43" s="1"/>
  <c r="N42" i="43" s="1"/>
  <c r="L7" i="43"/>
  <c r="M7" i="43" s="1"/>
  <c r="N7" i="43" s="1"/>
  <c r="M72" i="43"/>
  <c r="N72" i="43" s="1"/>
  <c r="L35" i="43"/>
  <c r="M35" i="43" s="1"/>
  <c r="N35" i="43" s="1"/>
  <c r="L6" i="43"/>
  <c r="M6" i="43" s="1"/>
  <c r="N6" i="43" s="1"/>
  <c r="L41" i="43"/>
  <c r="M41" i="43" s="1"/>
  <c r="N41" i="43" s="1"/>
  <c r="L10" i="43"/>
  <c r="M10" i="43" s="1"/>
  <c r="N10" i="43" s="1"/>
  <c r="L34" i="43"/>
  <c r="M34" i="43" s="1"/>
  <c r="N34" i="43" s="1"/>
  <c r="L5" i="43"/>
  <c r="M5" i="43" s="1"/>
  <c r="N5" i="43" s="1"/>
  <c r="L48" i="43"/>
  <c r="M48" i="43" s="1"/>
  <c r="N48" i="43" s="1"/>
  <c r="L19" i="43"/>
  <c r="M19" i="43" s="1"/>
  <c r="N19" i="43" s="1"/>
  <c r="L52" i="43"/>
  <c r="M52" i="43" s="1"/>
  <c r="N52" i="43" s="1"/>
  <c r="L24" i="43"/>
  <c r="M24" i="43" s="1"/>
  <c r="N24" i="43" s="1"/>
  <c r="M31" i="43"/>
  <c r="N31" i="43" s="1"/>
  <c r="L22" i="43"/>
  <c r="M22" i="43" s="1"/>
  <c r="N22" i="43" s="1"/>
  <c r="L13" i="43"/>
  <c r="M13" i="43" s="1"/>
  <c r="N13" i="43" s="1"/>
  <c r="L120" i="43"/>
  <c r="M120" i="43" s="1"/>
  <c r="N120" i="43" s="1"/>
  <c r="L40" i="43"/>
  <c r="M40" i="43" s="1"/>
  <c r="N40" i="43" s="1"/>
  <c r="M364" i="43"/>
  <c r="N364" i="43" s="1"/>
  <c r="L99" i="43"/>
  <c r="M99" i="43" s="1"/>
  <c r="N99" i="43" s="1"/>
  <c r="L17" i="43"/>
  <c r="M17" i="43" s="1"/>
  <c r="N17" i="43" s="1"/>
  <c r="M421" i="43"/>
  <c r="N421" i="43" s="1"/>
  <c r="L166" i="43"/>
  <c r="M166" i="43" s="1"/>
  <c r="N166" i="43" s="1"/>
  <c r="L84" i="43"/>
  <c r="M84" i="43" s="1"/>
  <c r="N84" i="43" s="1"/>
  <c r="M220" i="43"/>
  <c r="N220" i="43" s="1"/>
  <c r="L138" i="43"/>
  <c r="M138" i="43" s="1"/>
  <c r="N138" i="43" s="1"/>
  <c r="L56" i="43"/>
  <c r="M56" i="43" s="1"/>
  <c r="N56" i="43" s="1"/>
  <c r="M423" i="43"/>
  <c r="N423" i="43" s="1"/>
  <c r="L408" i="43"/>
  <c r="M408" i="43" s="1"/>
  <c r="N408" i="43" s="1"/>
  <c r="L404" i="43"/>
  <c r="M404" i="43" s="1"/>
  <c r="N404" i="43" s="1"/>
  <c r="L119" i="43"/>
  <c r="M119" i="43" s="1"/>
  <c r="N119" i="43" s="1"/>
  <c r="L39" i="43"/>
  <c r="M39" i="43" s="1"/>
  <c r="N39" i="43" s="1"/>
  <c r="L98" i="43"/>
  <c r="M98" i="43" s="1"/>
  <c r="N98" i="43" s="1"/>
  <c r="L16" i="43"/>
  <c r="M16" i="43" s="1"/>
  <c r="N16" i="43" s="1"/>
  <c r="L162" i="43"/>
  <c r="M162" i="43" s="1"/>
  <c r="N162" i="43" s="1"/>
  <c r="L80" i="43"/>
  <c r="M80" i="43" s="1"/>
  <c r="N80" i="43" s="1"/>
  <c r="M303" i="43"/>
  <c r="N303" i="43" s="1"/>
  <c r="L137" i="43"/>
  <c r="M137" i="43" s="1"/>
  <c r="N137" i="43" s="1"/>
  <c r="L55" i="43"/>
  <c r="M55" i="43" s="1"/>
  <c r="N55" i="43" s="1"/>
  <c r="L335" i="43"/>
  <c r="M335" i="43" s="1"/>
  <c r="N335" i="43" s="1"/>
  <c r="L330" i="43"/>
  <c r="M330" i="43" s="1"/>
  <c r="N330" i="43" s="1"/>
  <c r="L118" i="43"/>
  <c r="M118" i="43" s="1"/>
  <c r="N118" i="43" s="1"/>
  <c r="L38" i="43"/>
  <c r="M38" i="43" s="1"/>
  <c r="N38" i="43" s="1"/>
  <c r="L97" i="43"/>
  <c r="M97" i="43" s="1"/>
  <c r="N97" i="43" s="1"/>
  <c r="L15" i="43"/>
  <c r="M15" i="43" s="1"/>
  <c r="N15" i="43" s="1"/>
  <c r="L158" i="43"/>
  <c r="M158" i="43" s="1"/>
  <c r="N158" i="43" s="1"/>
  <c r="L76" i="43"/>
  <c r="M76" i="43" s="1"/>
  <c r="N76" i="43" s="1"/>
  <c r="M398" i="43"/>
  <c r="N398" i="43" s="1"/>
  <c r="L136" i="43"/>
  <c r="M136" i="43" s="1"/>
  <c r="N136" i="43" s="1"/>
  <c r="L54" i="43"/>
  <c r="M54" i="43" s="1"/>
  <c r="N54" i="43" s="1"/>
  <c r="L311" i="43"/>
  <c r="M311" i="43" s="1"/>
  <c r="N311" i="43" s="1"/>
  <c r="L295" i="43"/>
  <c r="M295" i="43" s="1"/>
  <c r="N295" i="43" s="1"/>
  <c r="M402" i="43"/>
  <c r="N402" i="43" s="1"/>
  <c r="L387" i="43"/>
  <c r="M387" i="43" s="1"/>
  <c r="N387" i="43" s="1"/>
  <c r="L378" i="43"/>
  <c r="M378" i="43" s="1"/>
  <c r="N378" i="43" s="1"/>
  <c r="L382" i="43"/>
  <c r="M382" i="43" s="1"/>
  <c r="N382" i="43" s="1"/>
  <c r="L376" i="43"/>
  <c r="M376" i="43" s="1"/>
  <c r="N376" i="43" s="1"/>
  <c r="L386" i="43"/>
  <c r="M386" i="43" s="1"/>
  <c r="N386" i="43" s="1"/>
  <c r="L377" i="43"/>
  <c r="M377" i="43" s="1"/>
  <c r="N377" i="43" s="1"/>
  <c r="M406" i="43"/>
  <c r="N406" i="43" s="1"/>
  <c r="L381" i="43"/>
  <c r="M381" i="43" s="1"/>
  <c r="N381" i="43" s="1"/>
  <c r="L375" i="43"/>
  <c r="M375" i="43" s="1"/>
  <c r="N375" i="43" s="1"/>
  <c r="M420" i="43"/>
  <c r="N420" i="43" s="1"/>
  <c r="L389" i="43"/>
  <c r="M389" i="43" s="1"/>
  <c r="N389" i="43" s="1"/>
  <c r="L380" i="43"/>
  <c r="M380" i="43" s="1"/>
  <c r="N380" i="43" s="1"/>
  <c r="M415" i="43"/>
  <c r="N415" i="43" s="1"/>
  <c r="M394" i="43"/>
  <c r="N394" i="43" s="1"/>
  <c r="L388" i="43"/>
  <c r="M388" i="43" s="1"/>
  <c r="N388" i="43" s="1"/>
  <c r="L379" i="43"/>
  <c r="M379" i="43" s="1"/>
  <c r="N379" i="43" s="1"/>
  <c r="M422" i="43"/>
  <c r="N422" i="43" s="1"/>
  <c r="O422" i="43" s="1"/>
  <c r="M417" i="43"/>
  <c r="N417" i="43" s="1"/>
  <c r="L416" i="43"/>
  <c r="M416" i="43" s="1"/>
  <c r="N416" i="43" s="1"/>
  <c r="L413" i="43"/>
  <c r="M413" i="43" s="1"/>
  <c r="N413" i="43" s="1"/>
  <c r="M372" i="43"/>
  <c r="N372" i="43" s="1"/>
  <c r="M352" i="43"/>
  <c r="N352" i="43" s="1"/>
  <c r="L345" i="43"/>
  <c r="M345" i="43" s="1"/>
  <c r="N345" i="43" s="1"/>
  <c r="L337" i="43"/>
  <c r="M337" i="43" s="1"/>
  <c r="N337" i="43" s="1"/>
  <c r="L342" i="43"/>
  <c r="M342" i="43" s="1"/>
  <c r="N342" i="43" s="1"/>
  <c r="L334" i="43"/>
  <c r="M334" i="43" s="1"/>
  <c r="N334" i="43" s="1"/>
  <c r="M351" i="43"/>
  <c r="N351" i="43" s="1"/>
  <c r="L344" i="43"/>
  <c r="M344" i="43" s="1"/>
  <c r="N344" i="43" s="1"/>
  <c r="L336" i="43"/>
  <c r="M336" i="43" s="1"/>
  <c r="N336" i="43" s="1"/>
  <c r="M348" i="43"/>
  <c r="N348" i="43" s="1"/>
  <c r="L341" i="43"/>
  <c r="M341" i="43" s="1"/>
  <c r="N341" i="43" s="1"/>
  <c r="L333" i="43"/>
  <c r="M333" i="43" s="1"/>
  <c r="N333" i="43" s="1"/>
  <c r="M374" i="43"/>
  <c r="N374" i="43" s="1"/>
  <c r="M360" i="43"/>
  <c r="N360" i="43" s="1"/>
  <c r="L347" i="43"/>
  <c r="M347" i="43" s="1"/>
  <c r="N347" i="43" s="1"/>
  <c r="L339" i="43"/>
  <c r="M339" i="43" s="1"/>
  <c r="N339" i="43" s="1"/>
  <c r="M359" i="43"/>
  <c r="N359" i="43" s="1"/>
  <c r="L346" i="43"/>
  <c r="M346" i="43" s="1"/>
  <c r="N346" i="43" s="1"/>
  <c r="L338" i="43"/>
  <c r="M338" i="43" s="1"/>
  <c r="N338" i="43" s="1"/>
  <c r="M367" i="43"/>
  <c r="N367" i="43" s="1"/>
  <c r="L365" i="43"/>
  <c r="M365" i="43" s="1"/>
  <c r="N365" i="43" s="1"/>
  <c r="L361" i="43"/>
  <c r="M361" i="43" s="1"/>
  <c r="N361" i="43" s="1"/>
  <c r="M312" i="43"/>
  <c r="N312" i="43" s="1"/>
  <c r="L296" i="43"/>
  <c r="M296" i="43" s="1"/>
  <c r="N296" i="43" s="1"/>
  <c r="L289" i="43"/>
  <c r="M289" i="43" s="1"/>
  <c r="N289" i="43" s="1"/>
  <c r="L293" i="43"/>
  <c r="M293" i="43" s="1"/>
  <c r="N293" i="43" s="1"/>
  <c r="L287" i="43"/>
  <c r="M287" i="43" s="1"/>
  <c r="N287" i="43" s="1"/>
  <c r="M310" i="43"/>
  <c r="N310" i="43" s="1"/>
  <c r="L294" i="43"/>
  <c r="M294" i="43" s="1"/>
  <c r="N294" i="43" s="1"/>
  <c r="L288" i="43"/>
  <c r="M288" i="43" s="1"/>
  <c r="N288" i="43" s="1"/>
  <c r="L292" i="43"/>
  <c r="M292" i="43" s="1"/>
  <c r="N292" i="43" s="1"/>
  <c r="L286" i="43"/>
  <c r="M286" i="43" s="1"/>
  <c r="N286" i="43" s="1"/>
  <c r="L298" i="43"/>
  <c r="M298" i="43" s="1"/>
  <c r="N298" i="43" s="1"/>
  <c r="L291" i="43"/>
  <c r="M291" i="43" s="1"/>
  <c r="N291" i="43" s="1"/>
  <c r="M331" i="43"/>
  <c r="N331" i="43" s="1"/>
  <c r="L297" i="43"/>
  <c r="M297" i="43" s="1"/>
  <c r="N297" i="43" s="1"/>
  <c r="L290" i="43"/>
  <c r="M290" i="43" s="1"/>
  <c r="N290" i="43" s="1"/>
  <c r="L316" i="43"/>
  <c r="M316" i="43" s="1"/>
  <c r="N316" i="43" s="1"/>
  <c r="L313" i="43"/>
  <c r="M313" i="43" s="1"/>
  <c r="N313" i="43" s="1"/>
  <c r="L235" i="43"/>
  <c r="M235" i="43" s="1"/>
  <c r="N235" i="43" s="1"/>
  <c r="M256" i="43"/>
  <c r="N256" i="43" s="1"/>
  <c r="L214" i="43"/>
  <c r="M214" i="43" s="1"/>
  <c r="N214" i="43" s="1"/>
  <c r="L198" i="43"/>
  <c r="M198" i="43" s="1"/>
  <c r="N198" i="43" s="1"/>
  <c r="M226" i="43"/>
  <c r="N226" i="43" s="1"/>
  <c r="L210" i="43"/>
  <c r="M210" i="43" s="1"/>
  <c r="N210" i="43" s="1"/>
  <c r="L194" i="43"/>
  <c r="M194" i="43" s="1"/>
  <c r="N194" i="43" s="1"/>
  <c r="M275" i="43"/>
  <c r="N275" i="43" s="1"/>
  <c r="L213" i="43"/>
  <c r="M213" i="43" s="1"/>
  <c r="N213" i="43" s="1"/>
  <c r="L197" i="43"/>
  <c r="M197" i="43" s="1"/>
  <c r="N197" i="43" s="1"/>
  <c r="L209" i="43"/>
  <c r="M209" i="43" s="1"/>
  <c r="N209" i="43" s="1"/>
  <c r="L193" i="43"/>
  <c r="M193" i="43" s="1"/>
  <c r="N193" i="43" s="1"/>
  <c r="M280" i="43"/>
  <c r="N280" i="43" s="1"/>
  <c r="M238" i="43"/>
  <c r="N238" i="43" s="1"/>
  <c r="L222" i="43"/>
  <c r="M222" i="43" s="1"/>
  <c r="N222" i="43" s="1"/>
  <c r="L206" i="43"/>
  <c r="M206" i="43" s="1"/>
  <c r="N206" i="43" s="1"/>
  <c r="M270" i="43"/>
  <c r="N270" i="43" s="1"/>
  <c r="L217" i="43"/>
  <c r="M217" i="43" s="1"/>
  <c r="N217" i="43" s="1"/>
  <c r="L204" i="43"/>
  <c r="M204" i="43" s="1"/>
  <c r="N204" i="43" s="1"/>
  <c r="M250" i="43"/>
  <c r="N250" i="43" s="1"/>
  <c r="M243" i="43"/>
  <c r="N243" i="43" s="1"/>
  <c r="L239" i="43"/>
  <c r="M239" i="43" s="1"/>
  <c r="N239" i="43" s="1"/>
  <c r="L124" i="43"/>
  <c r="M124" i="43" s="1"/>
  <c r="N124" i="43" s="1"/>
  <c r="L109" i="43"/>
  <c r="M109" i="43" s="1"/>
  <c r="N109" i="43" s="1"/>
  <c r="M183" i="43"/>
  <c r="N183" i="43" s="1"/>
  <c r="L117" i="43"/>
  <c r="M117" i="43" s="1"/>
  <c r="N117" i="43" s="1"/>
  <c r="L104" i="43"/>
  <c r="M104" i="43" s="1"/>
  <c r="N104" i="43" s="1"/>
  <c r="L123" i="43"/>
  <c r="M123" i="43" s="1"/>
  <c r="N123" i="43" s="1"/>
  <c r="L108" i="43"/>
  <c r="M108" i="43" s="1"/>
  <c r="N108" i="43" s="1"/>
  <c r="M182" i="43"/>
  <c r="N182" i="43" s="1"/>
  <c r="M143" i="43"/>
  <c r="N143" i="43" s="1"/>
  <c r="L116" i="43"/>
  <c r="M116" i="43" s="1"/>
  <c r="N116" i="43" s="1"/>
  <c r="L103" i="43"/>
  <c r="M103" i="43" s="1"/>
  <c r="N103" i="43" s="1"/>
  <c r="M177" i="43"/>
  <c r="N177" i="43" s="1"/>
  <c r="L129" i="43"/>
  <c r="M129" i="43" s="1"/>
  <c r="N129" i="43" s="1"/>
  <c r="M113" i="43"/>
  <c r="N113" i="43" s="1"/>
  <c r="M153" i="43"/>
  <c r="N153" i="43" s="1"/>
  <c r="L127" i="43"/>
  <c r="M127" i="43" s="1"/>
  <c r="N127" i="43" s="1"/>
  <c r="L111" i="43"/>
  <c r="M111" i="43" s="1"/>
  <c r="N111" i="43" s="1"/>
  <c r="M152" i="43"/>
  <c r="N152" i="43" s="1"/>
  <c r="L3" i="43"/>
  <c r="M3" i="43" s="1"/>
  <c r="N3" i="43" s="1"/>
  <c r="L32" i="43"/>
  <c r="M32" i="43" s="1"/>
  <c r="N32" i="43" s="1"/>
  <c r="L8" i="43"/>
  <c r="M8" i="43" s="1"/>
  <c r="N8" i="43" s="1"/>
  <c r="L36" i="43"/>
  <c r="M36" i="43" s="1"/>
  <c r="N36" i="43" s="1"/>
  <c r="L4" i="43"/>
  <c r="M4" i="43" s="1"/>
  <c r="N4" i="43" s="1"/>
  <c r="L33" i="43"/>
  <c r="M33" i="43" s="1"/>
  <c r="N33" i="43" s="1"/>
  <c r="L9" i="43"/>
  <c r="M9" i="43" s="1"/>
  <c r="N9" i="43" s="1"/>
  <c r="L37" i="43"/>
  <c r="M37" i="43" s="1"/>
  <c r="N37" i="43" s="1"/>
  <c r="M93" i="43"/>
  <c r="N93" i="43" s="1"/>
  <c r="L12" i="43"/>
  <c r="M12" i="43" s="1"/>
  <c r="N12" i="43" s="1"/>
  <c r="L44" i="43"/>
  <c r="M44" i="43" s="1"/>
  <c r="N44" i="43" s="1"/>
  <c r="M78" i="43"/>
  <c r="N78" i="43" s="1"/>
  <c r="M64" i="43"/>
  <c r="N64" i="43" s="1"/>
  <c r="L14" i="43"/>
  <c r="M14" i="43" s="1"/>
  <c r="N14" i="43" s="1"/>
  <c r="L46" i="43"/>
  <c r="M46" i="43" s="1"/>
  <c r="N46" i="43" s="1"/>
  <c r="M88" i="43"/>
  <c r="N88" i="43" s="1"/>
  <c r="M25" i="43"/>
  <c r="L21" i="43"/>
  <c r="L11" i="43"/>
  <c r="M11" i="43" s="1"/>
  <c r="G68" i="14"/>
  <c r="F68" i="14"/>
  <c r="G60" i="14"/>
  <c r="F60" i="14"/>
  <c r="G52" i="14"/>
  <c r="F52" i="14"/>
  <c r="G44" i="14"/>
  <c r="F44" i="14"/>
  <c r="G36" i="14"/>
  <c r="F36" i="14"/>
  <c r="G22" i="14"/>
  <c r="F22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7" i="14"/>
  <c r="G38" i="14"/>
  <c r="G39" i="14"/>
  <c r="G40" i="14"/>
  <c r="G41" i="14"/>
  <c r="G42" i="14"/>
  <c r="G43" i="14"/>
  <c r="G45" i="14"/>
  <c r="G46" i="14"/>
  <c r="G47" i="14"/>
  <c r="G48" i="14"/>
  <c r="G49" i="14"/>
  <c r="G50" i="14"/>
  <c r="G51" i="14"/>
  <c r="G53" i="14"/>
  <c r="G54" i="14"/>
  <c r="G55" i="14"/>
  <c r="G56" i="14"/>
  <c r="G57" i="14"/>
  <c r="G58" i="14"/>
  <c r="G59" i="14"/>
  <c r="G61" i="14"/>
  <c r="G62" i="14"/>
  <c r="G63" i="14"/>
  <c r="G64" i="14"/>
  <c r="G65" i="14"/>
  <c r="G66" i="14"/>
  <c r="G67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7" i="14"/>
  <c r="F38" i="14"/>
  <c r="F39" i="14"/>
  <c r="F40" i="14"/>
  <c r="F41" i="14"/>
  <c r="F42" i="14"/>
  <c r="F43" i="14"/>
  <c r="F45" i="14"/>
  <c r="F46" i="14"/>
  <c r="F47" i="14"/>
  <c r="F48" i="14"/>
  <c r="F49" i="14"/>
  <c r="F50" i="14"/>
  <c r="F51" i="14"/>
  <c r="F53" i="14"/>
  <c r="F54" i="14"/>
  <c r="F55" i="14"/>
  <c r="F56" i="14"/>
  <c r="F57" i="14"/>
  <c r="F58" i="14"/>
  <c r="F59" i="14"/>
  <c r="F61" i="14"/>
  <c r="F62" i="14"/>
  <c r="F63" i="14"/>
  <c r="F64" i="14"/>
  <c r="F65" i="14"/>
  <c r="F66" i="14"/>
  <c r="F67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8" i="14"/>
  <c r="O339" i="43" l="1"/>
  <c r="O338" i="43"/>
  <c r="O84" i="43"/>
  <c r="O16" i="43"/>
  <c r="O158" i="43"/>
  <c r="O331" i="43"/>
  <c r="O31" i="43"/>
  <c r="O49" i="43"/>
  <c r="O20" i="43"/>
  <c r="O245" i="43"/>
  <c r="O348" i="43"/>
  <c r="O66" i="43"/>
  <c r="O64" i="43"/>
  <c r="O30" i="43"/>
  <c r="O22" i="43"/>
  <c r="O120" i="43"/>
  <c r="O34" i="43"/>
  <c r="O52" i="43"/>
  <c r="O23" i="43"/>
  <c r="O14" i="43"/>
  <c r="O15" i="43"/>
  <c r="O41" i="43"/>
  <c r="O10" i="43"/>
  <c r="O275" i="43"/>
  <c r="O40" i="43"/>
  <c r="O333" i="43"/>
  <c r="O12" i="43"/>
  <c r="O55" i="43"/>
  <c r="O36" i="43"/>
  <c r="O9" i="43"/>
  <c r="O13" i="43"/>
  <c r="O35" i="43"/>
  <c r="O19" i="43"/>
  <c r="O121" i="43"/>
  <c r="M43" i="43"/>
  <c r="N43" i="43" s="1"/>
  <c r="M134" i="43"/>
  <c r="N134" i="43" s="1"/>
  <c r="O145" i="43" s="1"/>
  <c r="M75" i="43"/>
  <c r="N75" i="43" s="1"/>
  <c r="M322" i="43"/>
  <c r="N322" i="43" s="1"/>
  <c r="M315" i="43"/>
  <c r="N315" i="43" s="1"/>
  <c r="M282" i="43"/>
  <c r="N282" i="43" s="1"/>
  <c r="M368" i="43"/>
  <c r="N368" i="43" s="1"/>
  <c r="M350" i="43"/>
  <c r="N350" i="43" s="1"/>
  <c r="M355" i="43"/>
  <c r="N355" i="43" s="1"/>
  <c r="M95" i="43"/>
  <c r="N95" i="43" s="1"/>
  <c r="M306" i="43"/>
  <c r="N306" i="43" s="1"/>
  <c r="O122" i="43" s="1"/>
  <c r="M370" i="43"/>
  <c r="N370" i="43" s="1"/>
  <c r="M319" i="43"/>
  <c r="N319" i="43" s="1"/>
  <c r="M86" i="43"/>
  <c r="N86" i="43" s="1"/>
  <c r="O305" i="43" s="1"/>
  <c r="M399" i="43"/>
  <c r="N399" i="43" s="1"/>
  <c r="M414" i="43"/>
  <c r="N414" i="43" s="1"/>
  <c r="M328" i="43"/>
  <c r="N328" i="43" s="1"/>
  <c r="M362" i="43"/>
  <c r="N362" i="43" s="1"/>
  <c r="M349" i="43"/>
  <c r="N349" i="43" s="1"/>
  <c r="M100" i="43"/>
  <c r="N100" i="43" s="1"/>
  <c r="N156" i="43"/>
  <c r="M299" i="43"/>
  <c r="N299" i="43" s="1"/>
  <c r="M418" i="43"/>
  <c r="N418" i="43" s="1"/>
  <c r="M395" i="43"/>
  <c r="N395" i="43" s="1"/>
  <c r="M202" i="43"/>
  <c r="N202" i="43" s="1"/>
  <c r="O164" i="43" s="1"/>
  <c r="M390" i="43"/>
  <c r="N390" i="43" s="1"/>
  <c r="O124" i="43" s="1"/>
  <c r="M218" i="43"/>
  <c r="N218" i="43" s="1"/>
  <c r="O218" i="43" s="1"/>
  <c r="M201" i="43"/>
  <c r="N201" i="43" s="1"/>
  <c r="M323" i="43"/>
  <c r="N323" i="43" s="1"/>
  <c r="M405" i="43"/>
  <c r="N405" i="43" s="1"/>
  <c r="O416" i="43" s="1"/>
  <c r="M309" i="43"/>
  <c r="N309" i="43" s="1"/>
  <c r="O196" i="43" s="1"/>
  <c r="M343" i="43"/>
  <c r="N343" i="43" s="1"/>
  <c r="O343" i="43" s="1"/>
  <c r="M283" i="43"/>
  <c r="N283" i="43" s="1"/>
  <c r="M300" i="43"/>
  <c r="N300" i="43" s="1"/>
  <c r="M317" i="43"/>
  <c r="N317" i="43" s="1"/>
  <c r="M412" i="43"/>
  <c r="N412" i="43" s="1"/>
  <c r="M304" i="43"/>
  <c r="N304" i="43" s="1"/>
  <c r="M284" i="43"/>
  <c r="N284" i="43" s="1"/>
  <c r="M79" i="43"/>
  <c r="N79" i="43" s="1"/>
  <c r="M77" i="43"/>
  <c r="N77" i="43" s="1"/>
  <c r="M271" i="43"/>
  <c r="N271" i="43" s="1"/>
  <c r="M51" i="43"/>
  <c r="N51" i="43" s="1"/>
  <c r="M410" i="43"/>
  <c r="N410" i="43" s="1"/>
  <c r="M383" i="43"/>
  <c r="N383" i="43" s="1"/>
  <c r="M340" i="43"/>
  <c r="N340" i="43" s="1"/>
  <c r="M419" i="43"/>
  <c r="N419" i="43" s="1"/>
  <c r="M385" i="43"/>
  <c r="N385" i="43" s="1"/>
  <c r="M26" i="43"/>
  <c r="N26" i="43" s="1"/>
  <c r="O211" i="43" s="1"/>
  <c r="M262" i="43"/>
  <c r="N262" i="43" s="1"/>
  <c r="M384" i="43"/>
  <c r="N384" i="43" s="1"/>
  <c r="M400" i="43"/>
  <c r="N400" i="43" s="1"/>
  <c r="M181" i="43"/>
  <c r="N181" i="43" s="1"/>
  <c r="M187" i="43"/>
  <c r="N187" i="43" s="1"/>
  <c r="M332" i="43"/>
  <c r="N332" i="43" s="1"/>
  <c r="M409" i="43"/>
  <c r="N409" i="43" s="1"/>
  <c r="O381" i="43" s="1"/>
  <c r="M391" i="43"/>
  <c r="N391" i="43" s="1"/>
  <c r="M326" i="43"/>
  <c r="N326" i="43" s="1"/>
  <c r="M244" i="43"/>
  <c r="N244" i="43" s="1"/>
  <c r="M248" i="43"/>
  <c r="N248" i="43" s="1"/>
  <c r="M59" i="43"/>
  <c r="N59" i="43" s="1"/>
  <c r="M29" i="43"/>
  <c r="N29" i="43" s="1"/>
  <c r="M308" i="43"/>
  <c r="N308" i="43" s="1"/>
  <c r="O194" i="43" s="1"/>
  <c r="M325" i="43"/>
  <c r="N325" i="43" s="1"/>
  <c r="M356" i="43"/>
  <c r="N356" i="43" s="1"/>
  <c r="M397" i="43"/>
  <c r="N397" i="43" s="1"/>
  <c r="M236" i="43"/>
  <c r="N236" i="43" s="1"/>
  <c r="O236" i="43" s="1"/>
  <c r="M200" i="43"/>
  <c r="N200" i="43" s="1"/>
  <c r="M324" i="43"/>
  <c r="N324" i="43" s="1"/>
  <c r="M67" i="43"/>
  <c r="N67" i="43" s="1"/>
  <c r="M71" i="43"/>
  <c r="N71" i="43" s="1"/>
  <c r="M83" i="43"/>
  <c r="N83" i="43" s="1"/>
  <c r="M63" i="43"/>
  <c r="N63" i="43" s="1"/>
  <c r="O335" i="43" s="1"/>
  <c r="M62" i="43"/>
  <c r="N62" i="43" s="1"/>
  <c r="M96" i="43"/>
  <c r="N96" i="43" s="1"/>
  <c r="M58" i="43"/>
  <c r="N58" i="43" s="1"/>
  <c r="M92" i="43"/>
  <c r="N92" i="43" s="1"/>
  <c r="O105" i="43" s="1"/>
  <c r="M68" i="43"/>
  <c r="N68" i="43" s="1"/>
  <c r="O235" i="43" s="1"/>
  <c r="M91" i="43"/>
  <c r="N91" i="43" s="1"/>
  <c r="M261" i="43"/>
  <c r="N261" i="43" s="1"/>
  <c r="O238" i="43" s="1"/>
  <c r="M180" i="43"/>
  <c r="N180" i="43" s="1"/>
  <c r="M302" i="43"/>
  <c r="N302" i="43" s="1"/>
  <c r="M219" i="43"/>
  <c r="N219" i="43" s="1"/>
  <c r="M363" i="43"/>
  <c r="N363" i="43" s="1"/>
  <c r="M263" i="43"/>
  <c r="N263" i="43" s="1"/>
  <c r="O82" i="43" s="1"/>
  <c r="M179" i="43"/>
  <c r="N179" i="43" s="1"/>
  <c r="O237" i="43" s="1"/>
  <c r="M321" i="43"/>
  <c r="N321" i="43" s="1"/>
  <c r="O118" i="43" s="1"/>
  <c r="M320" i="43"/>
  <c r="N320" i="43" s="1"/>
  <c r="M366" i="43"/>
  <c r="N366" i="43" s="1"/>
  <c r="M354" i="43"/>
  <c r="N354" i="43" s="1"/>
  <c r="M371" i="43"/>
  <c r="N371" i="43" s="1"/>
  <c r="O379" i="43" s="1"/>
  <c r="M401" i="43"/>
  <c r="N401" i="43" s="1"/>
  <c r="M314" i="43"/>
  <c r="N314" i="43" s="1"/>
  <c r="O314" i="43" s="1"/>
  <c r="M305" i="43"/>
  <c r="N305" i="43" s="1"/>
  <c r="M353" i="43"/>
  <c r="N353" i="43" s="1"/>
  <c r="M369" i="43"/>
  <c r="N369" i="43" s="1"/>
  <c r="M396" i="43"/>
  <c r="N396" i="43" s="1"/>
  <c r="M301" i="43"/>
  <c r="N301" i="43" s="1"/>
  <c r="O156" i="43" s="1"/>
  <c r="M329" i="43"/>
  <c r="N329" i="43" s="1"/>
  <c r="M373" i="43"/>
  <c r="N373" i="43" s="1"/>
  <c r="O310" i="43" s="1"/>
  <c r="M358" i="43"/>
  <c r="N358" i="43" s="1"/>
  <c r="M403" i="43"/>
  <c r="N403" i="43" s="1"/>
  <c r="M393" i="43"/>
  <c r="N393" i="43" s="1"/>
  <c r="M318" i="43"/>
  <c r="N318" i="43" s="1"/>
  <c r="O117" i="43" s="1"/>
  <c r="M307" i="43"/>
  <c r="N307" i="43" s="1"/>
  <c r="M327" i="43"/>
  <c r="N327" i="43" s="1"/>
  <c r="M357" i="43"/>
  <c r="N357" i="43" s="1"/>
  <c r="M392" i="43"/>
  <c r="N392" i="43" s="1"/>
  <c r="M411" i="43"/>
  <c r="N411" i="43" s="1"/>
  <c r="M407" i="43"/>
  <c r="N407" i="43" s="1"/>
  <c r="M225" i="43"/>
  <c r="N225" i="43" s="1"/>
  <c r="M233" i="43"/>
  <c r="N233" i="43" s="1"/>
  <c r="M229" i="43"/>
  <c r="N229" i="43" s="1"/>
  <c r="O229" i="43" s="1"/>
  <c r="M69" i="43"/>
  <c r="N69" i="43" s="1"/>
  <c r="M170" i="43"/>
  <c r="M165" i="43"/>
  <c r="N165" i="43" s="1"/>
  <c r="M272" i="43"/>
  <c r="N272" i="43" s="1"/>
  <c r="M94" i="43"/>
  <c r="N94" i="43" s="1"/>
  <c r="M74" i="43"/>
  <c r="N74" i="43" s="1"/>
  <c r="M255" i="43"/>
  <c r="N255" i="43" s="1"/>
  <c r="M60" i="43"/>
  <c r="N60" i="43" s="1"/>
  <c r="O32" i="43" s="1"/>
  <c r="M186" i="43"/>
  <c r="N186" i="43" s="1"/>
  <c r="M251" i="43"/>
  <c r="N251" i="43" s="1"/>
  <c r="M178" i="43"/>
  <c r="N178" i="43" s="1"/>
  <c r="O346" i="43" s="1"/>
  <c r="M265" i="43"/>
  <c r="N265" i="43" s="1"/>
  <c r="O312" i="43" s="1"/>
  <c r="M252" i="43"/>
  <c r="N252" i="43" s="1"/>
  <c r="M246" i="43"/>
  <c r="N246" i="43" s="1"/>
  <c r="O290" i="43" s="1"/>
  <c r="M260" i="43"/>
  <c r="N260" i="43" s="1"/>
  <c r="O88" i="43" s="1"/>
  <c r="M230" i="43"/>
  <c r="N230" i="43" s="1"/>
  <c r="M276" i="43"/>
  <c r="N276" i="43" s="1"/>
  <c r="M89" i="43"/>
  <c r="N89" i="43" s="1"/>
  <c r="M90" i="43"/>
  <c r="N90" i="43" s="1"/>
  <c r="M53" i="43"/>
  <c r="N53" i="43" s="1"/>
  <c r="O27" i="43" s="1"/>
  <c r="M148" i="43"/>
  <c r="N148" i="43" s="1"/>
  <c r="O153" i="43" s="1"/>
  <c r="M70" i="43"/>
  <c r="N70" i="43" s="1"/>
  <c r="O38" i="43" s="1"/>
  <c r="M57" i="43"/>
  <c r="N57" i="43" s="1"/>
  <c r="O37" i="43" s="1"/>
  <c r="M147" i="43"/>
  <c r="N147" i="43" s="1"/>
  <c r="M167" i="43"/>
  <c r="N167" i="43" s="1"/>
  <c r="O78" i="43" s="1"/>
  <c r="M73" i="43"/>
  <c r="N73" i="43" s="1"/>
  <c r="O33" i="43" s="1"/>
  <c r="M61" i="43"/>
  <c r="N61" i="43" s="1"/>
  <c r="O42" i="43" s="1"/>
  <c r="M161" i="43"/>
  <c r="N161" i="43" s="1"/>
  <c r="M160" i="43"/>
  <c r="N160" i="43" s="1"/>
  <c r="M141" i="43"/>
  <c r="N141" i="43" s="1"/>
  <c r="M172" i="43"/>
  <c r="N172" i="43" s="1"/>
  <c r="M144" i="43"/>
  <c r="N144" i="43" s="1"/>
  <c r="O50" i="43" s="1"/>
  <c r="M87" i="43"/>
  <c r="N87" i="43" s="1"/>
  <c r="M65" i="43"/>
  <c r="N65" i="43" s="1"/>
  <c r="O17" i="43" s="1"/>
  <c r="N25" i="43"/>
  <c r="O5" i="43" s="1"/>
  <c r="M45" i="43"/>
  <c r="N45" i="43" s="1"/>
  <c r="M81" i="43"/>
  <c r="N81" i="43" s="1"/>
  <c r="O18" i="43" s="1"/>
  <c r="M21" i="43"/>
  <c r="N21" i="43" s="1"/>
  <c r="O4" i="43" s="1"/>
  <c r="N11" i="43"/>
  <c r="O45" i="43" l="1"/>
  <c r="O96" i="43"/>
  <c r="O356" i="43"/>
  <c r="O60" i="43"/>
  <c r="O71" i="43"/>
  <c r="O301" i="43"/>
  <c r="O67" i="43"/>
  <c r="O25" i="43"/>
  <c r="O61" i="43"/>
  <c r="O26" i="43"/>
  <c r="O21" i="43"/>
  <c r="O307" i="43"/>
  <c r="O81" i="43"/>
  <c r="O100" i="43"/>
  <c r="O165" i="43"/>
  <c r="O397" i="43"/>
  <c r="O233" i="43"/>
  <c r="O51" i="43"/>
  <c r="O161" i="43"/>
  <c r="O405" i="43"/>
  <c r="O308" i="43"/>
  <c r="O265" i="43"/>
  <c r="O309" i="43"/>
  <c r="O43" i="43"/>
  <c r="O321" i="43"/>
  <c r="O86" i="43"/>
  <c r="O65" i="43"/>
  <c r="O340" i="43"/>
  <c r="O419" i="43"/>
  <c r="O344" i="43"/>
  <c r="O336" i="43"/>
  <c r="O190" i="43"/>
  <c r="O286" i="43"/>
  <c r="O412" i="43"/>
  <c r="O155" i="43"/>
  <c r="O241" i="43"/>
  <c r="O328" i="43"/>
  <c r="O168" i="43"/>
  <c r="O285" i="43"/>
  <c r="O242" i="43"/>
  <c r="O386" i="43"/>
  <c r="O313" i="43"/>
  <c r="O318" i="43"/>
  <c r="O365" i="43"/>
  <c r="O418" i="43"/>
  <c r="O351" i="43"/>
  <c r="O240" i="43"/>
  <c r="O319" i="43"/>
  <c r="O271" i="43"/>
  <c r="O341" i="43"/>
  <c r="O320" i="43"/>
  <c r="O326" i="43"/>
  <c r="O410" i="43"/>
  <c r="O267" i="43"/>
  <c r="O58" i="43"/>
  <c r="O406" i="43"/>
  <c r="O420" i="43"/>
  <c r="O407" i="43"/>
  <c r="O421" i="43"/>
  <c r="O409" i="43"/>
  <c r="O380" i="43"/>
  <c r="O373" i="43"/>
  <c r="O349" i="43"/>
  <c r="O59" i="43"/>
  <c r="O63" i="43"/>
  <c r="O68" i="43"/>
  <c r="O330" i="43"/>
  <c r="O163" i="43"/>
  <c r="O246" i="43"/>
  <c r="O200" i="43"/>
  <c r="O62" i="43"/>
  <c r="O48" i="43"/>
  <c r="O273" i="43"/>
  <c r="O247" i="43"/>
  <c r="O57" i="43"/>
  <c r="O73" i="43"/>
  <c r="O361" i="43"/>
  <c r="O195" i="43"/>
  <c r="O315" i="43"/>
  <c r="O408" i="43"/>
  <c r="O262" i="43"/>
  <c r="O398" i="43"/>
  <c r="O414" i="43"/>
  <c r="O76" i="43"/>
  <c r="O83" i="43"/>
  <c r="O413" i="43"/>
  <c r="O417" i="43"/>
  <c r="O359" i="43"/>
  <c r="O296" i="43"/>
  <c r="O160" i="43"/>
  <c r="O75" i="43"/>
  <c r="O80" i="43"/>
  <c r="O102" i="43"/>
  <c r="O56" i="43"/>
  <c r="O316" i="43"/>
  <c r="O411" i="43"/>
  <c r="O74" i="43"/>
  <c r="O378" i="43"/>
  <c r="O311" i="43"/>
  <c r="O152" i="43"/>
  <c r="O274" i="43"/>
  <c r="O70" i="43"/>
  <c r="O151" i="43"/>
  <c r="O162" i="43"/>
  <c r="O358" i="43"/>
  <c r="O295" i="43"/>
  <c r="O166" i="43"/>
  <c r="O289" i="43"/>
  <c r="O284" i="43"/>
  <c r="O354" i="43"/>
  <c r="O72" i="43"/>
  <c r="O197" i="43"/>
  <c r="O47" i="43"/>
  <c r="O94" i="43"/>
  <c r="O248" i="43"/>
  <c r="O377" i="43"/>
  <c r="O198" i="43"/>
  <c r="O303" i="43"/>
  <c r="O258" i="43"/>
  <c r="O255" i="43"/>
  <c r="O276" i="43"/>
  <c r="O187" i="43"/>
  <c r="O293" i="43"/>
  <c r="O270" i="43"/>
  <c r="O306" i="43"/>
  <c r="O199" i="43"/>
  <c r="O283" i="43"/>
  <c r="O8" i="43"/>
  <c r="O423" i="43"/>
  <c r="O325" i="43"/>
  <c r="O278" i="43"/>
  <c r="O292" i="43"/>
  <c r="O260" i="43"/>
  <c r="O261" i="43"/>
  <c r="O272" i="43"/>
  <c r="O324" i="43"/>
  <c r="O204" i="43"/>
  <c r="O298" i="43"/>
  <c r="O288" i="43"/>
  <c r="O282" i="43"/>
  <c r="O280" i="43"/>
  <c r="O250" i="43"/>
  <c r="O243" i="43"/>
  <c r="O157" i="43"/>
  <c r="O281" i="43"/>
  <c r="O323" i="43"/>
  <c r="O329" i="43"/>
  <c r="O172" i="43"/>
  <c r="O263" i="43"/>
  <c r="O252" i="43"/>
  <c r="O257" i="43"/>
  <c r="O268" i="43"/>
  <c r="O253" i="43"/>
  <c r="O302" i="43"/>
  <c r="O266" i="43"/>
  <c r="O287" i="43"/>
  <c r="O93" i="43"/>
  <c r="O251" i="43"/>
  <c r="O395" i="43"/>
  <c r="O299" i="43"/>
  <c r="O304" i="43"/>
  <c r="O205" i="43"/>
  <c r="O193" i="43"/>
  <c r="O132" i="43"/>
  <c r="O108" i="43"/>
  <c r="O215" i="43"/>
  <c r="O87" i="43"/>
  <c r="O91" i="43"/>
  <c r="O103" i="43"/>
  <c r="O232" i="43"/>
  <c r="O175" i="43"/>
  <c r="O191" i="43"/>
  <c r="O203" i="43"/>
  <c r="O186" i="43"/>
  <c r="O207" i="43"/>
  <c r="O334" i="43"/>
  <c r="O228" i="43"/>
  <c r="O127" i="43"/>
  <c r="O230" i="43"/>
  <c r="O137" i="43"/>
  <c r="O173" i="43"/>
  <c r="O142" i="43"/>
  <c r="O147" i="43"/>
  <c r="O123" i="43"/>
  <c r="O3" i="43"/>
  <c r="O226" i="43"/>
  <c r="O192" i="43"/>
  <c r="O24" i="43"/>
  <c r="O345" i="43"/>
  <c r="O69" i="43"/>
  <c r="O355" i="43"/>
  <c r="O214" i="43"/>
  <c r="O383" i="43"/>
  <c r="O223" i="43"/>
  <c r="O7" i="43"/>
  <c r="O342" i="43"/>
  <c r="O180" i="43"/>
  <c r="O219" i="43"/>
  <c r="O384" i="43"/>
  <c r="O179" i="43"/>
  <c r="O376" i="43"/>
  <c r="O131" i="43"/>
  <c r="O138" i="43"/>
  <c r="O39" i="43"/>
  <c r="O352" i="43"/>
  <c r="O374" i="43"/>
  <c r="O264" i="43"/>
  <c r="O393" i="43"/>
  <c r="O399" i="43"/>
  <c r="O188" i="43"/>
  <c r="O44" i="43"/>
  <c r="O353" i="43"/>
  <c r="O244" i="43"/>
  <c r="O389" i="43"/>
  <c r="O249" i="43"/>
  <c r="O390" i="43"/>
  <c r="O110" i="43"/>
  <c r="O201" i="43"/>
  <c r="O90" i="43"/>
  <c r="O231" i="43"/>
  <c r="O167" i="43"/>
  <c r="O104" i="43"/>
  <c r="O29" i="43"/>
  <c r="O350" i="43"/>
  <c r="O317" i="43"/>
  <c r="O400" i="43"/>
  <c r="O111" i="43"/>
  <c r="O209" i="43"/>
  <c r="O382" i="43"/>
  <c r="O225" i="43"/>
  <c r="O220" i="43"/>
  <c r="O300" i="43"/>
  <c r="O415" i="43"/>
  <c r="O213" i="43"/>
  <c r="O185" i="43"/>
  <c r="O210" i="43"/>
  <c r="O184" i="43"/>
  <c r="O182" i="43"/>
  <c r="O181" i="43"/>
  <c r="O206" i="43"/>
  <c r="O150" i="43"/>
  <c r="O224" i="43"/>
  <c r="O385" i="43"/>
  <c r="O113" i="43"/>
  <c r="O109" i="43"/>
  <c r="O362" i="43"/>
  <c r="O143" i="43"/>
  <c r="O217" i="43"/>
  <c r="O129" i="43"/>
  <c r="O366" i="43"/>
  <c r="O119" i="43"/>
  <c r="O364" i="43"/>
  <c r="O130" i="43"/>
  <c r="O141" i="43"/>
  <c r="O140" i="43"/>
  <c r="O189" i="43"/>
  <c r="O125" i="43"/>
  <c r="O327" i="43"/>
  <c r="O402" i="43"/>
  <c r="O148" i="43"/>
  <c r="O221" i="43"/>
  <c r="O322" i="43"/>
  <c r="O401" i="43"/>
  <c r="O239" i="43"/>
  <c r="O388" i="43"/>
  <c r="O99" i="43"/>
  <c r="O360" i="43"/>
  <c r="O332" i="43"/>
  <c r="O403" i="43"/>
  <c r="O128" i="43"/>
  <c r="O171" i="43"/>
  <c r="O114" i="43"/>
  <c r="O363" i="43"/>
  <c r="O139" i="43"/>
  <c r="O368" i="43"/>
  <c r="O112" i="43"/>
  <c r="O212" i="43"/>
  <c r="O177" i="43"/>
  <c r="O135" i="43"/>
  <c r="O208" i="43"/>
  <c r="O234" i="43"/>
  <c r="O387" i="43"/>
  <c r="O154" i="43"/>
  <c r="O371" i="43"/>
  <c r="O174" i="43"/>
  <c r="O375" i="43"/>
  <c r="O79" i="43"/>
  <c r="O357" i="43"/>
  <c r="O134" i="43"/>
  <c r="O367" i="43"/>
  <c r="O183" i="43"/>
  <c r="O259" i="43"/>
  <c r="O392" i="43"/>
  <c r="O146" i="43"/>
  <c r="O54" i="43"/>
  <c r="O347" i="43"/>
  <c r="O159" i="43"/>
  <c r="O372" i="43"/>
  <c r="O144" i="43"/>
  <c r="O369" i="43"/>
  <c r="O279" i="43"/>
  <c r="O396" i="43"/>
  <c r="O227" i="43"/>
  <c r="O254" i="43"/>
  <c r="O391" i="43"/>
  <c r="O89" i="43"/>
  <c r="O116" i="43"/>
  <c r="O115" i="43"/>
  <c r="O126" i="43"/>
  <c r="O98" i="43"/>
  <c r="O97" i="43"/>
  <c r="O149" i="43"/>
  <c r="O370" i="43"/>
  <c r="O337" i="43"/>
  <c r="O404" i="43"/>
  <c r="O133" i="43"/>
  <c r="O269" i="43"/>
  <c r="O394" i="43"/>
  <c r="O202" i="43"/>
  <c r="O46" i="43"/>
  <c r="O11" i="43"/>
  <c r="O101" i="43"/>
  <c r="O136" i="43"/>
  <c r="O176" i="43"/>
  <c r="O92" i="43"/>
  <c r="O95" i="43"/>
  <c r="O106" i="43"/>
  <c r="O85" i="43"/>
  <c r="O107" i="43"/>
  <c r="N170" i="43"/>
  <c r="O277" i="43" s="1"/>
  <c r="M28" i="43"/>
  <c r="N28" i="43" s="1"/>
  <c r="O6" i="43" s="1"/>
  <c r="O28" i="43" l="1"/>
  <c r="O170" i="43"/>
  <c r="O77" i="43"/>
  <c r="O291" i="43"/>
  <c r="O297" i="43"/>
  <c r="O216" i="43"/>
  <c r="O53" i="43"/>
  <c r="O256" i="43"/>
  <c r="O294" i="43"/>
  <c r="O222" i="43"/>
  <c r="O169" i="43"/>
  <c r="O178" i="43"/>
  <c r="L5" i="8"/>
  <c r="O6" i="8"/>
  <c r="O5" i="8"/>
  <c r="Q78" i="8" l="1"/>
  <c r="M257" i="13" l="1"/>
  <c r="J257" i="13"/>
  <c r="D257" i="13"/>
  <c r="M256" i="13"/>
  <c r="J256" i="13"/>
  <c r="G256" i="13"/>
  <c r="D256" i="13"/>
  <c r="M255" i="13"/>
  <c r="J255" i="13"/>
  <c r="G255" i="13"/>
  <c r="D255" i="13"/>
  <c r="M254" i="13"/>
  <c r="J254" i="13"/>
  <c r="G254" i="13"/>
  <c r="D254" i="13"/>
  <c r="M253" i="13"/>
  <c r="J253" i="13"/>
  <c r="G253" i="13"/>
  <c r="D253" i="13"/>
  <c r="M252" i="13"/>
  <c r="J252" i="13"/>
  <c r="G252" i="13"/>
  <c r="D252" i="13"/>
  <c r="M247" i="13"/>
  <c r="J247" i="13"/>
  <c r="G247" i="13"/>
  <c r="D247" i="13"/>
  <c r="M246" i="13"/>
  <c r="J246" i="13"/>
  <c r="G246" i="13"/>
  <c r="D246" i="13"/>
  <c r="M245" i="13"/>
  <c r="J245" i="13"/>
  <c r="G245" i="13"/>
  <c r="D245" i="13"/>
  <c r="M244" i="13"/>
  <c r="J244" i="13"/>
  <c r="G244" i="13"/>
  <c r="D244" i="13"/>
  <c r="M243" i="13"/>
  <c r="J243" i="13"/>
  <c r="G243" i="13"/>
  <c r="D243" i="13"/>
  <c r="M236" i="13"/>
  <c r="J236" i="13"/>
  <c r="D236" i="13"/>
  <c r="M235" i="13"/>
  <c r="J235" i="13"/>
  <c r="G235" i="13"/>
  <c r="D235" i="13"/>
  <c r="M234" i="13"/>
  <c r="J234" i="13"/>
  <c r="G234" i="13"/>
  <c r="D234" i="13"/>
  <c r="M233" i="13"/>
  <c r="J233" i="13"/>
  <c r="G233" i="13"/>
  <c r="D233" i="13"/>
  <c r="M232" i="13"/>
  <c r="J232" i="13"/>
  <c r="G232" i="13"/>
  <c r="D232" i="13"/>
  <c r="M231" i="13"/>
  <c r="J231" i="13"/>
  <c r="G231" i="13"/>
  <c r="D231" i="13"/>
  <c r="M226" i="13"/>
  <c r="J226" i="13"/>
  <c r="G226" i="13"/>
  <c r="D226" i="13"/>
  <c r="M225" i="13"/>
  <c r="J225" i="13"/>
  <c r="G225" i="13"/>
  <c r="D225" i="13"/>
  <c r="M224" i="13"/>
  <c r="J224" i="13"/>
  <c r="G224" i="13"/>
  <c r="D224" i="13"/>
  <c r="M223" i="13"/>
  <c r="J223" i="13"/>
  <c r="G223" i="13"/>
  <c r="D223" i="13"/>
  <c r="M222" i="13"/>
  <c r="J222" i="13"/>
  <c r="G222" i="13"/>
  <c r="D222" i="13"/>
  <c r="M215" i="13"/>
  <c r="J215" i="13"/>
  <c r="D215" i="13"/>
  <c r="M214" i="13"/>
  <c r="J214" i="13"/>
  <c r="G214" i="13"/>
  <c r="D214" i="13"/>
  <c r="M213" i="13"/>
  <c r="J213" i="13"/>
  <c r="G213" i="13"/>
  <c r="D213" i="13"/>
  <c r="M212" i="13"/>
  <c r="J212" i="13"/>
  <c r="G212" i="13"/>
  <c r="D212" i="13"/>
  <c r="M211" i="13"/>
  <c r="J211" i="13"/>
  <c r="G211" i="13"/>
  <c r="D211" i="13"/>
  <c r="M210" i="13"/>
  <c r="J210" i="13"/>
  <c r="G210" i="13"/>
  <c r="D210" i="13"/>
  <c r="M205" i="13"/>
  <c r="J205" i="13"/>
  <c r="G205" i="13"/>
  <c r="M204" i="13"/>
  <c r="J204" i="13"/>
  <c r="G204" i="13"/>
  <c r="D204" i="13"/>
  <c r="M203" i="13"/>
  <c r="J203" i="13"/>
  <c r="G203" i="13"/>
  <c r="D203" i="13"/>
  <c r="M202" i="13"/>
  <c r="J202" i="13"/>
  <c r="G202" i="13"/>
  <c r="D202" i="13"/>
  <c r="M201" i="13"/>
  <c r="J201" i="13"/>
  <c r="G201" i="13"/>
  <c r="D201" i="13"/>
  <c r="J190" i="13"/>
  <c r="G190" i="13"/>
  <c r="D190" i="13"/>
  <c r="J189" i="13"/>
  <c r="G189" i="13"/>
  <c r="D189" i="13"/>
  <c r="J188" i="13"/>
  <c r="G188" i="13"/>
  <c r="D188" i="13"/>
  <c r="J187" i="13"/>
  <c r="G187" i="13"/>
  <c r="D187" i="13"/>
  <c r="J186" i="13"/>
  <c r="G186" i="13"/>
  <c r="D186" i="13"/>
  <c r="G181" i="13"/>
  <c r="D181" i="13"/>
  <c r="G180" i="13"/>
  <c r="D180" i="13"/>
  <c r="G179" i="13"/>
  <c r="D179" i="13"/>
  <c r="G178" i="13"/>
  <c r="D178" i="13"/>
  <c r="G177" i="13"/>
  <c r="D177" i="13"/>
  <c r="J169" i="13"/>
  <c r="G169" i="13"/>
  <c r="D169" i="13"/>
  <c r="J168" i="13"/>
  <c r="G168" i="13"/>
  <c r="D168" i="13"/>
  <c r="J167" i="13"/>
  <c r="G167" i="13"/>
  <c r="D167" i="13"/>
  <c r="J166" i="13"/>
  <c r="G166" i="13"/>
  <c r="D166" i="13"/>
  <c r="J165" i="13"/>
  <c r="G165" i="13"/>
  <c r="D165" i="13"/>
  <c r="G160" i="13"/>
  <c r="D160" i="13"/>
  <c r="G159" i="13"/>
  <c r="D159" i="13"/>
  <c r="G158" i="13"/>
  <c r="D158" i="13"/>
  <c r="G157" i="13"/>
  <c r="D157" i="13"/>
  <c r="G156" i="13"/>
  <c r="D156" i="13"/>
  <c r="J148" i="13"/>
  <c r="G148" i="13"/>
  <c r="D148" i="13"/>
  <c r="J147" i="13"/>
  <c r="G147" i="13"/>
  <c r="D147" i="13"/>
  <c r="J146" i="13"/>
  <c r="G146" i="13"/>
  <c r="D146" i="13"/>
  <c r="J145" i="13"/>
  <c r="G145" i="13"/>
  <c r="D145" i="13"/>
  <c r="J144" i="13"/>
  <c r="G144" i="13"/>
  <c r="D144" i="13"/>
  <c r="G139" i="13"/>
  <c r="D139" i="13"/>
  <c r="G138" i="13"/>
  <c r="D138" i="13"/>
  <c r="G137" i="13"/>
  <c r="D137" i="13"/>
  <c r="G136" i="13"/>
  <c r="D136" i="13"/>
  <c r="G135" i="13"/>
  <c r="D135" i="13"/>
  <c r="J124" i="13"/>
  <c r="G124" i="13"/>
  <c r="D124" i="13"/>
  <c r="J123" i="13"/>
  <c r="G123" i="13"/>
  <c r="D123" i="13"/>
  <c r="J122" i="13"/>
  <c r="G122" i="13"/>
  <c r="D122" i="13"/>
  <c r="J121" i="13"/>
  <c r="G121" i="13"/>
  <c r="D121" i="13"/>
  <c r="J120" i="13"/>
  <c r="G120" i="13"/>
  <c r="D120" i="13"/>
  <c r="M115" i="13"/>
  <c r="J115" i="13"/>
  <c r="G115" i="13"/>
  <c r="D115" i="13"/>
  <c r="M114" i="13"/>
  <c r="J114" i="13"/>
  <c r="G114" i="13"/>
  <c r="D114" i="13"/>
  <c r="M113" i="13"/>
  <c r="J113" i="13"/>
  <c r="G113" i="13"/>
  <c r="D113" i="13"/>
  <c r="M112" i="13"/>
  <c r="J112" i="13"/>
  <c r="G112" i="13"/>
  <c r="D112" i="13"/>
  <c r="M111" i="13"/>
  <c r="J111" i="13"/>
  <c r="G111" i="13"/>
  <c r="D111" i="13"/>
  <c r="J103" i="13"/>
  <c r="G103" i="13"/>
  <c r="D103" i="13"/>
  <c r="J102" i="13"/>
  <c r="G102" i="13"/>
  <c r="D102" i="13"/>
  <c r="J101" i="13"/>
  <c r="G101" i="13"/>
  <c r="D101" i="13"/>
  <c r="J100" i="13"/>
  <c r="G100" i="13"/>
  <c r="D100" i="13"/>
  <c r="J99" i="13"/>
  <c r="G99" i="13"/>
  <c r="D99" i="13"/>
  <c r="M94" i="13"/>
  <c r="J94" i="13"/>
  <c r="G94" i="13"/>
  <c r="D94" i="13"/>
  <c r="M93" i="13"/>
  <c r="J93" i="13"/>
  <c r="G93" i="13"/>
  <c r="D93" i="13"/>
  <c r="M92" i="13"/>
  <c r="J92" i="13"/>
  <c r="G92" i="13"/>
  <c r="D92" i="13"/>
  <c r="M91" i="13"/>
  <c r="J91" i="13"/>
  <c r="G91" i="13"/>
  <c r="D91" i="13"/>
  <c r="M90" i="13"/>
  <c r="J90" i="13"/>
  <c r="G90" i="13"/>
  <c r="D90" i="13"/>
  <c r="J82" i="13"/>
  <c r="G82" i="13"/>
  <c r="D82" i="13"/>
  <c r="J81" i="13"/>
  <c r="G81" i="13"/>
  <c r="D81" i="13"/>
  <c r="J80" i="13"/>
  <c r="G80" i="13"/>
  <c r="D80" i="13"/>
  <c r="J79" i="13"/>
  <c r="G79" i="13"/>
  <c r="D79" i="13"/>
  <c r="J78" i="13"/>
  <c r="G78" i="13"/>
  <c r="D78" i="13"/>
  <c r="M73" i="13"/>
  <c r="J73" i="13"/>
  <c r="G73" i="13"/>
  <c r="D73" i="13"/>
  <c r="M72" i="13"/>
  <c r="J72" i="13"/>
  <c r="G72" i="13"/>
  <c r="D72" i="13"/>
  <c r="M71" i="13"/>
  <c r="J71" i="13"/>
  <c r="G71" i="13"/>
  <c r="D71" i="13"/>
  <c r="M70" i="13"/>
  <c r="J70" i="13"/>
  <c r="G70" i="13"/>
  <c r="D70" i="13"/>
  <c r="M69" i="13"/>
  <c r="J69" i="13"/>
  <c r="G69" i="13"/>
  <c r="D69" i="13"/>
  <c r="J61" i="13"/>
  <c r="G61" i="13"/>
  <c r="D61" i="13"/>
  <c r="J60" i="13"/>
  <c r="G60" i="13"/>
  <c r="D60" i="13"/>
  <c r="J59" i="13"/>
  <c r="G59" i="13"/>
  <c r="D59" i="13"/>
  <c r="J58" i="13"/>
  <c r="G58" i="13"/>
  <c r="D58" i="13"/>
  <c r="J57" i="13"/>
  <c r="G57" i="13"/>
  <c r="D57" i="13"/>
  <c r="M52" i="13"/>
  <c r="J52" i="13"/>
  <c r="G52" i="13"/>
  <c r="D52" i="13"/>
  <c r="M51" i="13"/>
  <c r="J51" i="13"/>
  <c r="G51" i="13"/>
  <c r="D51" i="13"/>
  <c r="M50" i="13"/>
  <c r="J50" i="13"/>
  <c r="G50" i="13"/>
  <c r="D50" i="13"/>
  <c r="M49" i="13"/>
  <c r="J49" i="13"/>
  <c r="G49" i="13"/>
  <c r="D49" i="13"/>
  <c r="M48" i="13"/>
  <c r="J48" i="13"/>
  <c r="G48" i="13"/>
  <c r="D48" i="13"/>
  <c r="J40" i="13"/>
  <c r="G40" i="13"/>
  <c r="D40" i="13"/>
  <c r="J39" i="13"/>
  <c r="G39" i="13"/>
  <c r="D39" i="13"/>
  <c r="J38" i="13"/>
  <c r="G38" i="13"/>
  <c r="D38" i="13"/>
  <c r="J37" i="13"/>
  <c r="G37" i="13"/>
  <c r="D37" i="13"/>
  <c r="J36" i="13"/>
  <c r="G36" i="13"/>
  <c r="D36" i="13"/>
  <c r="M31" i="13"/>
  <c r="J31" i="13"/>
  <c r="G31" i="13"/>
  <c r="D31" i="13"/>
  <c r="M30" i="13"/>
  <c r="J30" i="13"/>
  <c r="G30" i="13"/>
  <c r="D30" i="13"/>
  <c r="M29" i="13"/>
  <c r="J29" i="13"/>
  <c r="G29" i="13"/>
  <c r="D29" i="13"/>
  <c r="M28" i="13"/>
  <c r="J28" i="13"/>
  <c r="G28" i="13"/>
  <c r="D28" i="13"/>
  <c r="M27" i="13"/>
  <c r="J27" i="13"/>
  <c r="G27" i="13"/>
  <c r="D27" i="13"/>
  <c r="D20" i="13"/>
  <c r="J19" i="13"/>
  <c r="G19" i="13"/>
  <c r="D19" i="13"/>
  <c r="J18" i="13"/>
  <c r="G18" i="13"/>
  <c r="D18" i="13"/>
  <c r="J17" i="13"/>
  <c r="G17" i="13"/>
  <c r="D17" i="13"/>
  <c r="J16" i="13"/>
  <c r="G16" i="13"/>
  <c r="D16" i="13"/>
  <c r="J15" i="13"/>
  <c r="G15" i="13"/>
  <c r="D15" i="13"/>
  <c r="M10" i="13"/>
  <c r="J10" i="13"/>
  <c r="G10" i="13"/>
  <c r="D10" i="13"/>
  <c r="M9" i="13"/>
  <c r="J9" i="13"/>
  <c r="G9" i="13"/>
  <c r="D9" i="13"/>
  <c r="M8" i="13"/>
  <c r="J8" i="13"/>
  <c r="G8" i="13"/>
  <c r="D8" i="13"/>
  <c r="M7" i="13"/>
  <c r="J7" i="13"/>
  <c r="G7" i="13"/>
  <c r="D7" i="13"/>
  <c r="M6" i="13"/>
  <c r="J6" i="13"/>
  <c r="G6" i="13"/>
  <c r="D6" i="13"/>
  <c r="Q69" i="8" l="1"/>
  <c r="P69" i="8"/>
  <c r="O69" i="8"/>
  <c r="P76" i="8" s="1"/>
  <c r="N69" i="8"/>
  <c r="L69" i="8"/>
  <c r="Q79" i="8" s="1"/>
  <c r="J94" i="8" l="1"/>
  <c r="Q77" i="8"/>
  <c r="J96" i="8"/>
  <c r="L28" i="8"/>
  <c r="L26" i="8"/>
  <c r="K45" i="8"/>
  <c r="O35" i="8" l="1"/>
  <c r="N35" i="8"/>
  <c r="K43" i="8" s="1"/>
  <c r="L35" i="8"/>
  <c r="D62" i="8" s="1"/>
  <c r="D60" i="8" l="1"/>
  <c r="C103" i="8"/>
  <c r="C69" i="8"/>
  <c r="C35" i="8"/>
  <c r="M79" i="8"/>
  <c r="M77" i="8"/>
  <c r="M75" i="8"/>
  <c r="M74" i="8"/>
  <c r="G79" i="8" l="1"/>
  <c r="G77" i="8"/>
  <c r="G43" i="8"/>
  <c r="C43" i="8" l="1"/>
  <c r="B45" i="8"/>
  <c r="B43" i="8"/>
  <c r="J28" i="8"/>
  <c r="J26" i="8"/>
  <c r="I28" i="8" l="1"/>
  <c r="I26" i="8"/>
  <c r="E28" i="8" l="1"/>
  <c r="E25" i="8"/>
  <c r="R35" i="8" l="1"/>
  <c r="R69" i="8" s="1"/>
  <c r="R103" i="8" l="1"/>
  <c r="J73" i="8"/>
  <c r="L73" i="8"/>
  <c r="M73" i="8"/>
  <c r="N73" i="8"/>
  <c r="O73" i="8"/>
  <c r="P73" i="8"/>
  <c r="H73" i="8"/>
  <c r="I73" i="8"/>
  <c r="K73" i="8"/>
  <c r="G73" i="8"/>
  <c r="G8" i="8"/>
  <c r="E45" i="8" l="1"/>
  <c r="O59" i="8"/>
  <c r="N59" i="8"/>
  <c r="M59" i="8"/>
  <c r="L59" i="8"/>
  <c r="K59" i="8"/>
  <c r="J59" i="8"/>
  <c r="I59" i="8"/>
  <c r="H59" i="8"/>
  <c r="G59" i="8"/>
  <c r="F59" i="8"/>
  <c r="E59" i="8"/>
  <c r="C59" i="8"/>
  <c r="B59" i="8"/>
  <c r="F42" i="8"/>
  <c r="E42" i="8"/>
  <c r="D42" i="8"/>
  <c r="R42" i="8"/>
  <c r="Q42" i="8"/>
  <c r="P42" i="8"/>
  <c r="O42" i="8"/>
  <c r="N42" i="8"/>
  <c r="M42" i="8"/>
  <c r="L42" i="8"/>
  <c r="J42" i="8"/>
  <c r="I42" i="8"/>
  <c r="H42" i="8"/>
  <c r="F78" i="8"/>
  <c r="B113" i="8"/>
  <c r="B69" i="8"/>
  <c r="B35" i="8"/>
  <c r="B96" i="8"/>
  <c r="R79" i="8"/>
  <c r="P79" i="8"/>
  <c r="O79" i="8"/>
  <c r="N79" i="8"/>
  <c r="L79" i="8"/>
  <c r="K79" i="8"/>
  <c r="J79" i="8"/>
  <c r="B79" i="8"/>
  <c r="R62" i="8"/>
  <c r="Q62" i="8"/>
  <c r="P62" i="8"/>
  <c r="O62" i="8"/>
  <c r="N62" i="8"/>
  <c r="M62" i="8"/>
  <c r="L62" i="8"/>
  <c r="K62" i="8"/>
  <c r="J62" i="8"/>
  <c r="I62" i="8"/>
  <c r="H62" i="8"/>
  <c r="F62" i="8"/>
  <c r="E62" i="8"/>
  <c r="C62" i="8"/>
  <c r="G62" i="8"/>
  <c r="F61" i="8"/>
  <c r="B62" i="8"/>
  <c r="D25" i="8"/>
  <c r="B8" i="8"/>
  <c r="B7" i="8"/>
  <c r="B6" i="8"/>
  <c r="B5" i="8"/>
  <c r="E8" i="8"/>
  <c r="E7" i="8"/>
  <c r="D7" i="8"/>
  <c r="C7" i="8"/>
  <c r="B12" i="8" l="1"/>
  <c r="B10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R96" i="8"/>
  <c r="Q96" i="8"/>
  <c r="P96" i="8"/>
  <c r="O96" i="8"/>
  <c r="N96" i="8"/>
  <c r="M96" i="8"/>
  <c r="L96" i="8"/>
  <c r="K96" i="8"/>
  <c r="I96" i="8"/>
  <c r="H96" i="8"/>
  <c r="G96" i="8"/>
  <c r="F96" i="8"/>
  <c r="E96" i="8"/>
  <c r="D96" i="8"/>
  <c r="C96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R93" i="8"/>
  <c r="Q93" i="8"/>
  <c r="P93" i="8"/>
  <c r="O93" i="8"/>
  <c r="N93" i="8"/>
  <c r="M93" i="8"/>
  <c r="L93" i="8"/>
  <c r="K93" i="8"/>
  <c r="I93" i="8"/>
  <c r="H93" i="8"/>
  <c r="G93" i="8"/>
  <c r="F93" i="8"/>
  <c r="E93" i="8"/>
  <c r="D93" i="8"/>
  <c r="C93" i="8"/>
  <c r="B93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I79" i="8"/>
  <c r="H79" i="8"/>
  <c r="F79" i="8"/>
  <c r="E79" i="8"/>
  <c r="D79" i="8"/>
  <c r="C79" i="8"/>
  <c r="R78" i="8"/>
  <c r="P78" i="8"/>
  <c r="O78" i="8"/>
  <c r="N78" i="8"/>
  <c r="M78" i="8"/>
  <c r="L78" i="8"/>
  <c r="K78" i="8"/>
  <c r="J78" i="8"/>
  <c r="I78" i="8"/>
  <c r="H78" i="8"/>
  <c r="G78" i="8"/>
  <c r="E78" i="8"/>
  <c r="D78" i="8"/>
  <c r="C78" i="8"/>
  <c r="B78" i="8"/>
  <c r="R76" i="8"/>
  <c r="O76" i="8"/>
  <c r="N76" i="8"/>
  <c r="L76" i="8"/>
  <c r="K76" i="8"/>
  <c r="J76" i="8"/>
  <c r="I76" i="8"/>
  <c r="H76" i="8"/>
  <c r="F76" i="8"/>
  <c r="E76" i="8"/>
  <c r="D76" i="8"/>
  <c r="C76" i="8"/>
  <c r="B76" i="8"/>
  <c r="R75" i="8"/>
  <c r="Q75" i="8"/>
  <c r="P75" i="8"/>
  <c r="O75" i="8"/>
  <c r="N75" i="8"/>
  <c r="L75" i="8"/>
  <c r="K75" i="8"/>
  <c r="J75" i="8"/>
  <c r="I75" i="8"/>
  <c r="H75" i="8"/>
  <c r="G75" i="8"/>
  <c r="F75" i="8"/>
  <c r="E75" i="8"/>
  <c r="D75" i="8"/>
  <c r="C75" i="8"/>
  <c r="B75" i="8"/>
  <c r="R74" i="8"/>
  <c r="Q74" i="8"/>
  <c r="P74" i="8"/>
  <c r="O74" i="8"/>
  <c r="N74" i="8"/>
  <c r="L74" i="8"/>
  <c r="K74" i="8"/>
  <c r="J74" i="8"/>
  <c r="I74" i="8"/>
  <c r="H74" i="8"/>
  <c r="G74" i="8"/>
  <c r="F74" i="8"/>
  <c r="E74" i="8"/>
  <c r="D74" i="8"/>
  <c r="C74" i="8"/>
  <c r="B74" i="8"/>
  <c r="R73" i="8"/>
  <c r="Q73" i="8"/>
  <c r="F73" i="8"/>
  <c r="E73" i="8"/>
  <c r="D73" i="8"/>
  <c r="C73" i="8"/>
  <c r="B73" i="8"/>
  <c r="R59" i="8"/>
  <c r="Q59" i="8"/>
  <c r="P59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R45" i="8"/>
  <c r="Q45" i="8"/>
  <c r="P45" i="8"/>
  <c r="O45" i="8"/>
  <c r="N45" i="8"/>
  <c r="M45" i="8"/>
  <c r="L45" i="8"/>
  <c r="J45" i="8"/>
  <c r="I45" i="8"/>
  <c r="H45" i="8"/>
  <c r="G45" i="8"/>
  <c r="F45" i="8"/>
  <c r="D45" i="8"/>
  <c r="C45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R41" i="8"/>
  <c r="Q41" i="8"/>
  <c r="P41" i="8"/>
  <c r="O41" i="8"/>
  <c r="N41" i="8"/>
  <c r="L41" i="8"/>
  <c r="K41" i="8"/>
  <c r="J41" i="8"/>
  <c r="I41" i="8"/>
  <c r="H41" i="8"/>
  <c r="G41" i="8"/>
  <c r="F41" i="8"/>
  <c r="E41" i="8"/>
  <c r="D41" i="8"/>
  <c r="C41" i="8"/>
  <c r="B41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R28" i="8"/>
  <c r="Q28" i="8"/>
  <c r="P28" i="8"/>
  <c r="O28" i="8"/>
  <c r="N28" i="8"/>
  <c r="M28" i="8"/>
  <c r="K28" i="8"/>
  <c r="H28" i="8"/>
  <c r="G28" i="8"/>
  <c r="F28" i="8"/>
  <c r="D28" i="8"/>
  <c r="C28" i="8"/>
  <c r="B28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R25" i="8"/>
  <c r="Q25" i="8"/>
  <c r="P25" i="8"/>
  <c r="O25" i="8"/>
  <c r="N25" i="8"/>
  <c r="M25" i="8"/>
  <c r="K25" i="8"/>
  <c r="H25" i="8"/>
  <c r="G25" i="8"/>
  <c r="F25" i="8"/>
  <c r="C25" i="8"/>
  <c r="B25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R11" i="8"/>
  <c r="Q11" i="8"/>
  <c r="P11" i="8"/>
  <c r="O11" i="8"/>
  <c r="N11" i="8"/>
  <c r="M11" i="8"/>
  <c r="L11" i="8"/>
  <c r="K11" i="8"/>
  <c r="J11" i="8"/>
  <c r="I11" i="8"/>
  <c r="H11" i="8"/>
  <c r="R10" i="8"/>
  <c r="Q10" i="8"/>
  <c r="P10" i="8"/>
  <c r="O10" i="8"/>
  <c r="N10" i="8"/>
  <c r="M10" i="8"/>
  <c r="L10" i="8"/>
  <c r="K10" i="8"/>
  <c r="J10" i="8"/>
  <c r="I10" i="8"/>
  <c r="H10" i="8"/>
  <c r="R8" i="8"/>
  <c r="Q8" i="8"/>
  <c r="P8" i="8"/>
  <c r="O8" i="8"/>
  <c r="N8" i="8"/>
  <c r="M8" i="8"/>
  <c r="L8" i="8"/>
  <c r="K8" i="8"/>
  <c r="J8" i="8"/>
  <c r="I8" i="8"/>
  <c r="H8" i="8"/>
  <c r="F8" i="8"/>
  <c r="D8" i="8"/>
  <c r="C8" i="8"/>
  <c r="R7" i="8"/>
  <c r="Q7" i="8"/>
  <c r="P7" i="8"/>
  <c r="O7" i="8"/>
  <c r="N7" i="8"/>
  <c r="M7" i="8"/>
  <c r="L7" i="8"/>
  <c r="K7" i="8"/>
  <c r="J7" i="8"/>
  <c r="I7" i="8"/>
  <c r="H7" i="8"/>
  <c r="G7" i="8"/>
  <c r="F7" i="8"/>
  <c r="R6" i="8"/>
  <c r="Q6" i="8"/>
  <c r="P6" i="8"/>
  <c r="N6" i="8"/>
  <c r="M6" i="8"/>
  <c r="L6" i="8"/>
  <c r="K6" i="8"/>
  <c r="J6" i="8"/>
  <c r="I6" i="8"/>
  <c r="H6" i="8"/>
  <c r="G6" i="8"/>
  <c r="F6" i="8"/>
  <c r="E6" i="8"/>
  <c r="D6" i="8"/>
  <c r="C6" i="8"/>
  <c r="R5" i="8"/>
  <c r="Q5" i="8"/>
  <c r="P5" i="8"/>
  <c r="N5" i="8"/>
  <c r="M5" i="8"/>
  <c r="K5" i="8"/>
  <c r="J5" i="8"/>
  <c r="I5" i="8"/>
  <c r="H5" i="8"/>
  <c r="G5" i="8"/>
  <c r="F5" i="8"/>
  <c r="E5" i="8"/>
  <c r="D5" i="8"/>
  <c r="C5" i="8"/>
  <c r="Q80" i="8" l="1"/>
  <c r="E12" i="8"/>
  <c r="Q82" i="8"/>
  <c r="F12" i="8"/>
  <c r="D29" i="8"/>
  <c r="D31" i="8" s="1"/>
  <c r="D32" i="8" s="1"/>
  <c r="D33" i="8" s="1"/>
  <c r="D34" i="8" s="1"/>
  <c r="J12" i="8"/>
  <c r="J14" i="8" s="1"/>
  <c r="J15" i="8" s="1"/>
  <c r="J16" i="8" s="1"/>
  <c r="N12" i="8"/>
  <c r="N14" i="8" s="1"/>
  <c r="N15" i="8" s="1"/>
  <c r="N16" i="8" s="1"/>
  <c r="I29" i="8"/>
  <c r="I31" i="8" s="1"/>
  <c r="I32" i="8" s="1"/>
  <c r="I33" i="8" s="1"/>
  <c r="B46" i="8"/>
  <c r="B48" i="8" s="1"/>
  <c r="B49" i="8" s="1"/>
  <c r="N46" i="8"/>
  <c r="N48" i="8" s="1"/>
  <c r="N49" i="8" s="1"/>
  <c r="N50" i="8" s="1"/>
  <c r="R46" i="8"/>
  <c r="R48" i="8" s="1"/>
  <c r="R49" i="8" s="1"/>
  <c r="R50" i="8" s="1"/>
  <c r="R12" i="8"/>
  <c r="R14" i="8" s="1"/>
  <c r="R15" i="8" s="1"/>
  <c r="D12" i="8"/>
  <c r="D13" i="8" s="1"/>
  <c r="D15" i="8" s="1"/>
  <c r="D16" i="8" s="1"/>
  <c r="H12" i="8"/>
  <c r="H14" i="8" s="1"/>
  <c r="H15" i="8" s="1"/>
  <c r="H16" i="8" s="1"/>
  <c r="H17" i="8" s="1"/>
  <c r="B29" i="8"/>
  <c r="J29" i="8"/>
  <c r="J31" i="8" s="1"/>
  <c r="J32" i="8" s="1"/>
  <c r="J33" i="8" s="1"/>
  <c r="C46" i="8"/>
  <c r="C29" i="8"/>
  <c r="C31" i="8" s="1"/>
  <c r="C32" i="8" s="1"/>
  <c r="C33" i="8" s="1"/>
  <c r="F46" i="8"/>
  <c r="F48" i="8" s="1"/>
  <c r="F49" i="8" s="1"/>
  <c r="F50" i="8" s="1"/>
  <c r="J46" i="8"/>
  <c r="J48" i="8" s="1"/>
  <c r="J49" i="8" s="1"/>
  <c r="J50" i="8" s="1"/>
  <c r="E80" i="8"/>
  <c r="E82" i="8" s="1"/>
  <c r="E83" i="8" s="1"/>
  <c r="E84" i="8" s="1"/>
  <c r="I80" i="8"/>
  <c r="I82" i="8" s="1"/>
  <c r="I83" i="8" s="1"/>
  <c r="I84" i="8" s="1"/>
  <c r="M80" i="8"/>
  <c r="B97" i="8"/>
  <c r="B99" i="8" s="1"/>
  <c r="B100" i="8" s="1"/>
  <c r="B101" i="8" s="1"/>
  <c r="F97" i="8"/>
  <c r="F99" i="8" s="1"/>
  <c r="F100" i="8" s="1"/>
  <c r="F101" i="8" s="1"/>
  <c r="J97" i="8"/>
  <c r="J99" i="8" s="1"/>
  <c r="J100" i="8" s="1"/>
  <c r="J101" i="8" s="1"/>
  <c r="N97" i="8"/>
  <c r="N99" i="8" s="1"/>
  <c r="N100" i="8" s="1"/>
  <c r="N101" i="8" s="1"/>
  <c r="R97" i="8"/>
  <c r="R99" i="8" s="1"/>
  <c r="R100" i="8" s="1"/>
  <c r="R101" i="8" s="1"/>
  <c r="E114" i="8"/>
  <c r="E116" i="8" s="1"/>
  <c r="E117" i="8" s="1"/>
  <c r="E118" i="8" s="1"/>
  <c r="I114" i="8"/>
  <c r="I116" i="8" s="1"/>
  <c r="I117" i="8" s="1"/>
  <c r="I118" i="8" s="1"/>
  <c r="M114" i="8"/>
  <c r="M116" i="8" s="1"/>
  <c r="M117" i="8" s="1"/>
  <c r="M118" i="8" s="1"/>
  <c r="L12" i="8"/>
  <c r="L14" i="8" s="1"/>
  <c r="L15" i="8" s="1"/>
  <c r="L16" i="8" s="1"/>
  <c r="P12" i="8"/>
  <c r="P14" i="8" s="1"/>
  <c r="P15" i="8" s="1"/>
  <c r="P16" i="8" s="1"/>
  <c r="F29" i="8"/>
  <c r="F31" i="8" s="1"/>
  <c r="F32" i="8" s="1"/>
  <c r="F33" i="8" s="1"/>
  <c r="G29" i="8"/>
  <c r="G31" i="8" s="1"/>
  <c r="G32" i="8" s="1"/>
  <c r="G33" i="8" s="1"/>
  <c r="K29" i="8"/>
  <c r="K31" i="8" s="1"/>
  <c r="K32" i="8" s="1"/>
  <c r="K33" i="8" s="1"/>
  <c r="D46" i="8"/>
  <c r="D48" i="8" s="1"/>
  <c r="D49" i="8" s="1"/>
  <c r="D50" i="8" s="1"/>
  <c r="H46" i="8"/>
  <c r="H48" i="8" s="1"/>
  <c r="H49" i="8" s="1"/>
  <c r="H50" i="8" s="1"/>
  <c r="L46" i="8"/>
  <c r="L48" i="8" s="1"/>
  <c r="L49" i="8" s="1"/>
  <c r="L50" i="8" s="1"/>
  <c r="P46" i="8"/>
  <c r="P48" i="8" s="1"/>
  <c r="P49" i="8" s="1"/>
  <c r="P50" i="8" s="1"/>
  <c r="C80" i="8"/>
  <c r="C82" i="8" s="1"/>
  <c r="G80" i="8"/>
  <c r="K80" i="8"/>
  <c r="K82" i="8" s="1"/>
  <c r="K83" i="8" s="1"/>
  <c r="K84" i="8" s="1"/>
  <c r="O80" i="8"/>
  <c r="O82" i="8" s="1"/>
  <c r="O83" i="8" s="1"/>
  <c r="O84" i="8" s="1"/>
  <c r="D97" i="8"/>
  <c r="D99" i="8" s="1"/>
  <c r="D100" i="8" s="1"/>
  <c r="D101" i="8" s="1"/>
  <c r="H97" i="8"/>
  <c r="H99" i="8" s="1"/>
  <c r="H100" i="8" s="1"/>
  <c r="H101" i="8" s="1"/>
  <c r="L97" i="8"/>
  <c r="L99" i="8" s="1"/>
  <c r="L100" i="8" s="1"/>
  <c r="L101" i="8" s="1"/>
  <c r="P97" i="8"/>
  <c r="P99" i="8" s="1"/>
  <c r="P100" i="8" s="1"/>
  <c r="P101" i="8" s="1"/>
  <c r="C114" i="8"/>
  <c r="C117" i="8" s="1"/>
  <c r="C118" i="8" s="1"/>
  <c r="G114" i="8"/>
  <c r="G116" i="8" s="1"/>
  <c r="G117" i="8" s="1"/>
  <c r="G118" i="8" s="1"/>
  <c r="K114" i="8"/>
  <c r="K116" i="8" s="1"/>
  <c r="K117" i="8" s="1"/>
  <c r="K118" i="8" s="1"/>
  <c r="O114" i="8"/>
  <c r="O116" i="8" s="1"/>
  <c r="O117" i="8" s="1"/>
  <c r="O118" i="8" s="1"/>
  <c r="E29" i="8"/>
  <c r="H80" i="8"/>
  <c r="H82" i="8" s="1"/>
  <c r="H83" i="8" s="1"/>
  <c r="H84" i="8" s="1"/>
  <c r="G12" i="8"/>
  <c r="Q114" i="8"/>
  <c r="Q116" i="8" s="1"/>
  <c r="Q117" i="8" s="1"/>
  <c r="Q118" i="8" s="1"/>
  <c r="F80" i="8"/>
  <c r="F82" i="8" s="1"/>
  <c r="F83" i="8" s="1"/>
  <c r="F84" i="8" s="1"/>
  <c r="R80" i="8"/>
  <c r="R82" i="8" s="1"/>
  <c r="R83" i="8" s="1"/>
  <c r="R84" i="8" s="1"/>
  <c r="H114" i="8"/>
  <c r="H116" i="8" s="1"/>
  <c r="H117" i="8" s="1"/>
  <c r="H118" i="8" s="1"/>
  <c r="C12" i="8"/>
  <c r="C13" i="8" s="1"/>
  <c r="C15" i="8" s="1"/>
  <c r="C16" i="8" s="1"/>
  <c r="I12" i="8"/>
  <c r="I14" i="8" s="1"/>
  <c r="I15" i="8" s="1"/>
  <c r="I16" i="8" s="1"/>
  <c r="K12" i="8"/>
  <c r="K14" i="8" s="1"/>
  <c r="K15" i="8" s="1"/>
  <c r="K16" i="8" s="1"/>
  <c r="M12" i="8"/>
  <c r="M14" i="8" s="1"/>
  <c r="M15" i="8" s="1"/>
  <c r="M16" i="8" s="1"/>
  <c r="O12" i="8"/>
  <c r="O14" i="8" s="1"/>
  <c r="O15" i="8" s="1"/>
  <c r="O16" i="8" s="1"/>
  <c r="Q12" i="8"/>
  <c r="Q14" i="8" s="1"/>
  <c r="Q15" i="8" s="1"/>
  <c r="Q16" i="8" s="1"/>
  <c r="H29" i="8"/>
  <c r="H31" i="8" s="1"/>
  <c r="H32" i="8" s="1"/>
  <c r="H33" i="8" s="1"/>
  <c r="L29" i="8"/>
  <c r="L31" i="8" s="1"/>
  <c r="L32" i="8" s="1"/>
  <c r="L33" i="8" s="1"/>
  <c r="N29" i="8"/>
  <c r="N31" i="8" s="1"/>
  <c r="N32" i="8" s="1"/>
  <c r="N33" i="8" s="1"/>
  <c r="P29" i="8"/>
  <c r="P31" i="8" s="1"/>
  <c r="P32" i="8" s="1"/>
  <c r="P33" i="8" s="1"/>
  <c r="R29" i="8"/>
  <c r="R31" i="8" s="1"/>
  <c r="R32" i="8" s="1"/>
  <c r="R33" i="8" s="1"/>
  <c r="E46" i="8"/>
  <c r="E48" i="8" s="1"/>
  <c r="E49" i="8" s="1"/>
  <c r="E50" i="8" s="1"/>
  <c r="G46" i="8"/>
  <c r="G48" i="8" s="1"/>
  <c r="G49" i="8" s="1"/>
  <c r="G50" i="8" s="1"/>
  <c r="I46" i="8"/>
  <c r="I48" i="8" s="1"/>
  <c r="I49" i="8" s="1"/>
  <c r="I50" i="8" s="1"/>
  <c r="K46" i="8"/>
  <c r="K48" i="8" s="1"/>
  <c r="K49" i="8" s="1"/>
  <c r="K50" i="8" s="1"/>
  <c r="F63" i="8"/>
  <c r="B80" i="8"/>
  <c r="B82" i="8" s="1"/>
  <c r="D80" i="8"/>
  <c r="D82" i="8" s="1"/>
  <c r="J80" i="8"/>
  <c r="J82" i="8" s="1"/>
  <c r="J83" i="8" s="1"/>
  <c r="J84" i="8" s="1"/>
  <c r="L80" i="8"/>
  <c r="L82" i="8" s="1"/>
  <c r="L83" i="8" s="1"/>
  <c r="L84" i="8" s="1"/>
  <c r="N80" i="8"/>
  <c r="N82" i="8" s="1"/>
  <c r="N83" i="8" s="1"/>
  <c r="N84" i="8" s="1"/>
  <c r="P80" i="8"/>
  <c r="P82" i="8" s="1"/>
  <c r="P83" i="8" s="1"/>
  <c r="P84" i="8" s="1"/>
  <c r="C97" i="8"/>
  <c r="C99" i="8" s="1"/>
  <c r="C100" i="8" s="1"/>
  <c r="C101" i="8" s="1"/>
  <c r="E97" i="8"/>
  <c r="E99" i="8" s="1"/>
  <c r="E100" i="8" s="1"/>
  <c r="E101" i="8" s="1"/>
  <c r="G97" i="8"/>
  <c r="G99" i="8" s="1"/>
  <c r="G100" i="8" s="1"/>
  <c r="G101" i="8" s="1"/>
  <c r="I97" i="8"/>
  <c r="I99" i="8" s="1"/>
  <c r="I100" i="8" s="1"/>
  <c r="I101" i="8" s="1"/>
  <c r="K97" i="8"/>
  <c r="K99" i="8" s="1"/>
  <c r="K100" i="8" s="1"/>
  <c r="K101" i="8" s="1"/>
  <c r="M97" i="8"/>
  <c r="M99" i="8" s="1"/>
  <c r="M100" i="8" s="1"/>
  <c r="M101" i="8" s="1"/>
  <c r="O97" i="8"/>
  <c r="O99" i="8" s="1"/>
  <c r="O100" i="8" s="1"/>
  <c r="O101" i="8" s="1"/>
  <c r="Q97" i="8"/>
  <c r="Q99" i="8" s="1"/>
  <c r="Q100" i="8" s="1"/>
  <c r="Q101" i="8" s="1"/>
  <c r="B114" i="8"/>
  <c r="B116" i="8" s="1"/>
  <c r="B117" i="8" s="1"/>
  <c r="B118" i="8" s="1"/>
  <c r="D114" i="8"/>
  <c r="D117" i="8" s="1"/>
  <c r="D118" i="8" s="1"/>
  <c r="F114" i="8"/>
  <c r="F116" i="8" s="1"/>
  <c r="F117" i="8" s="1"/>
  <c r="F118" i="8" s="1"/>
  <c r="J114" i="8"/>
  <c r="J116" i="8" s="1"/>
  <c r="J117" i="8" s="1"/>
  <c r="J118" i="8" s="1"/>
  <c r="L114" i="8"/>
  <c r="L116" i="8" s="1"/>
  <c r="L117" i="8" s="1"/>
  <c r="L118" i="8" s="1"/>
  <c r="N114" i="8"/>
  <c r="N116" i="8" s="1"/>
  <c r="N117" i="8" s="1"/>
  <c r="N118" i="8" s="1"/>
  <c r="P114" i="8"/>
  <c r="P116" i="8" s="1"/>
  <c r="P117" i="8" s="1"/>
  <c r="P118" i="8" s="1"/>
  <c r="R114" i="8"/>
  <c r="R116" i="8" s="1"/>
  <c r="R117" i="8" s="1"/>
  <c r="R118" i="8" s="1"/>
  <c r="B13" i="8"/>
  <c r="B15" i="8" s="1"/>
  <c r="B16" i="8" s="1"/>
  <c r="M29" i="8"/>
  <c r="M31" i="8" s="1"/>
  <c r="M32" i="8" s="1"/>
  <c r="M33" i="8" s="1"/>
  <c r="O29" i="8"/>
  <c r="O31" i="8" s="1"/>
  <c r="O32" i="8" s="1"/>
  <c r="O33" i="8" s="1"/>
  <c r="Q29" i="8"/>
  <c r="Q31" i="8" s="1"/>
  <c r="Q32" i="8" s="1"/>
  <c r="Q33" i="8" s="1"/>
  <c r="O46" i="8"/>
  <c r="O48" i="8" s="1"/>
  <c r="O49" i="8" s="1"/>
  <c r="O50" i="8" s="1"/>
  <c r="Q46" i="8"/>
  <c r="Q48" i="8" s="1"/>
  <c r="Q49" i="8" s="1"/>
  <c r="Q50" i="8" s="1"/>
  <c r="F14" i="8"/>
  <c r="F15" i="8" s="1"/>
  <c r="F16" i="8" s="1"/>
  <c r="E14" i="8"/>
  <c r="E15" i="8" s="1"/>
  <c r="E16" i="8" s="1"/>
  <c r="Q83" i="8" l="1"/>
  <c r="Q84" i="8"/>
  <c r="Q85" i="8" s="1"/>
  <c r="M82" i="8"/>
  <c r="M83" i="8" s="1"/>
  <c r="G82" i="8"/>
  <c r="G83" i="8" s="1"/>
  <c r="R16" i="8"/>
  <c r="R17" i="8" s="1"/>
  <c r="B50" i="8"/>
  <c r="B51" i="8" s="1"/>
  <c r="J34" i="8"/>
  <c r="C48" i="8"/>
  <c r="C49" i="8" s="1"/>
  <c r="C50" i="8" s="1"/>
  <c r="C83" i="8"/>
  <c r="D116" i="8"/>
  <c r="C34" i="8"/>
  <c r="C116" i="8"/>
  <c r="B31" i="8"/>
  <c r="B32" i="8" s="1"/>
  <c r="B33" i="8" s="1"/>
  <c r="F34" i="8"/>
  <c r="E31" i="8"/>
  <c r="E32" i="8" s="1"/>
  <c r="E33" i="8" s="1"/>
  <c r="B83" i="8"/>
  <c r="G14" i="8"/>
  <c r="G15" i="8" s="1"/>
  <c r="G16" i="8" s="1"/>
  <c r="D83" i="8"/>
  <c r="P119" i="8"/>
  <c r="L119" i="8"/>
  <c r="H119" i="8"/>
  <c r="B119" i="8"/>
  <c r="P102" i="8"/>
  <c r="L102" i="8"/>
  <c r="H102" i="8"/>
  <c r="D102" i="8"/>
  <c r="R85" i="8"/>
  <c r="N85" i="8"/>
  <c r="J85" i="8"/>
  <c r="F85" i="8"/>
  <c r="P51" i="8"/>
  <c r="L51" i="8"/>
  <c r="H51" i="8"/>
  <c r="D51" i="8"/>
  <c r="N17" i="8"/>
  <c r="J17" i="8"/>
  <c r="F17" i="8"/>
  <c r="B17" i="8"/>
  <c r="R119" i="8"/>
  <c r="N119" i="8"/>
  <c r="J119" i="8"/>
  <c r="F119" i="8"/>
  <c r="R102" i="8"/>
  <c r="N102" i="8"/>
  <c r="J102" i="8"/>
  <c r="F102" i="8"/>
  <c r="B102" i="8"/>
  <c r="P85" i="8"/>
  <c r="L85" i="8"/>
  <c r="H85" i="8"/>
  <c r="R51" i="8"/>
  <c r="N51" i="8"/>
  <c r="J51" i="8"/>
  <c r="F51" i="8"/>
  <c r="P17" i="8"/>
  <c r="L17" i="8"/>
  <c r="D17" i="8"/>
  <c r="Q51" i="8"/>
  <c r="O51" i="8"/>
  <c r="K51" i="8"/>
  <c r="I51" i="8"/>
  <c r="G51" i="8"/>
  <c r="E51" i="8"/>
  <c r="Q119" i="8"/>
  <c r="O119" i="8"/>
  <c r="M119" i="8"/>
  <c r="K119" i="8"/>
  <c r="I119" i="8"/>
  <c r="G119" i="8"/>
  <c r="E119" i="8"/>
  <c r="C119" i="8"/>
  <c r="Q102" i="8"/>
  <c r="O102" i="8"/>
  <c r="M102" i="8"/>
  <c r="K102" i="8"/>
  <c r="I102" i="8"/>
  <c r="G102" i="8"/>
  <c r="E102" i="8"/>
  <c r="C102" i="8"/>
  <c r="O85" i="8"/>
  <c r="K85" i="8"/>
  <c r="I85" i="8"/>
  <c r="E85" i="8"/>
  <c r="Q34" i="8"/>
  <c r="O34" i="8"/>
  <c r="M34" i="8"/>
  <c r="K34" i="8"/>
  <c r="G34" i="8"/>
  <c r="Q17" i="8"/>
  <c r="O17" i="8"/>
  <c r="M17" i="8"/>
  <c r="K17" i="8"/>
  <c r="I17" i="8"/>
  <c r="E17" i="8"/>
  <c r="C17" i="8"/>
  <c r="R34" i="8"/>
  <c r="P34" i="8"/>
  <c r="N34" i="8"/>
  <c r="L34" i="8"/>
  <c r="H34" i="8"/>
  <c r="D119" i="8"/>
  <c r="M84" i="8" l="1"/>
  <c r="M85" i="8" s="1"/>
  <c r="G84" i="8"/>
  <c r="G85" i="8" s="1"/>
  <c r="D84" i="8"/>
  <c r="D85" i="8" s="1"/>
  <c r="C84" i="8"/>
  <c r="C85" i="8" s="1"/>
  <c r="B84" i="8"/>
  <c r="B85" i="8" s="1"/>
  <c r="I34" i="8"/>
  <c r="C51" i="8"/>
  <c r="B34" i="8"/>
  <c r="E34" i="8"/>
  <c r="G17" i="8"/>
  <c r="Q61" i="8"/>
  <c r="Q63" i="8" s="1"/>
  <c r="O61" i="8"/>
  <c r="O63" i="8" s="1"/>
  <c r="M61" i="8"/>
  <c r="M63" i="8" s="1"/>
  <c r="K61" i="8"/>
  <c r="K63" i="8" s="1"/>
  <c r="I61" i="8"/>
  <c r="I63" i="8" s="1"/>
  <c r="G61" i="8"/>
  <c r="G63" i="8" s="1"/>
  <c r="E61" i="8"/>
  <c r="E63" i="8" s="1"/>
  <c r="C61" i="8"/>
  <c r="C63" i="8" s="1"/>
  <c r="R61" i="8"/>
  <c r="R63" i="8" s="1"/>
  <c r="P61" i="8"/>
  <c r="P63" i="8" s="1"/>
  <c r="N61" i="8"/>
  <c r="N63" i="8" s="1"/>
  <c r="L61" i="8"/>
  <c r="L63" i="8" s="1"/>
  <c r="J61" i="8"/>
  <c r="J63" i="8" s="1"/>
  <c r="H61" i="8"/>
  <c r="H63" i="8" s="1"/>
  <c r="D61" i="8"/>
  <c r="D63" i="8" s="1"/>
  <c r="B61" i="8"/>
  <c r="B63" i="8" s="1"/>
  <c r="M41" i="8"/>
  <c r="M46" i="8" s="1"/>
  <c r="B65" i="8" l="1"/>
  <c r="B66" i="8" s="1"/>
  <c r="B67" i="8" s="1"/>
  <c r="F65" i="8"/>
  <c r="F66" i="8" s="1"/>
  <c r="F67" i="8" s="1"/>
  <c r="J65" i="8"/>
  <c r="J66" i="8" s="1"/>
  <c r="J67" i="8" s="1"/>
  <c r="N65" i="8"/>
  <c r="N66" i="8" s="1"/>
  <c r="N67" i="8" s="1"/>
  <c r="R65" i="8"/>
  <c r="R66" i="8" s="1"/>
  <c r="R67" i="8" s="1"/>
  <c r="E65" i="8"/>
  <c r="E66" i="8" s="1"/>
  <c r="E67" i="8" s="1"/>
  <c r="I65" i="8"/>
  <c r="I66" i="8" s="1"/>
  <c r="I67" i="8" s="1"/>
  <c r="M65" i="8"/>
  <c r="M66" i="8" s="1"/>
  <c r="M67" i="8" s="1"/>
  <c r="Q65" i="8"/>
  <c r="Q66" i="8" s="1"/>
  <c r="Q67" i="8" s="1"/>
  <c r="M48" i="8"/>
  <c r="M49" i="8" s="1"/>
  <c r="M50" i="8" s="1"/>
  <c r="D65" i="8"/>
  <c r="H65" i="8"/>
  <c r="H66" i="8" s="1"/>
  <c r="H67" i="8" s="1"/>
  <c r="L65" i="8"/>
  <c r="L66" i="8" s="1"/>
  <c r="L67" i="8" s="1"/>
  <c r="P65" i="8"/>
  <c r="P66" i="8" s="1"/>
  <c r="P67" i="8" s="1"/>
  <c r="C65" i="8"/>
  <c r="C66" i="8" s="1"/>
  <c r="C67" i="8" s="1"/>
  <c r="G65" i="8"/>
  <c r="G66" i="8" s="1"/>
  <c r="G67" i="8" s="1"/>
  <c r="K65" i="8"/>
  <c r="K66" i="8" s="1"/>
  <c r="K67" i="8" s="1"/>
  <c r="O65" i="8"/>
  <c r="O66" i="8" s="1"/>
  <c r="O67" i="8" s="1"/>
  <c r="D66" i="8" l="1"/>
  <c r="D67" i="8" s="1"/>
  <c r="K68" i="8"/>
  <c r="C68" i="8"/>
  <c r="Q68" i="8"/>
  <c r="I68" i="8"/>
  <c r="B68" i="8"/>
  <c r="O68" i="8"/>
  <c r="G68" i="8"/>
  <c r="M51" i="8"/>
  <c r="M68" i="8"/>
  <c r="E68" i="8"/>
  <c r="P68" i="8"/>
  <c r="L68" i="8"/>
  <c r="H68" i="8"/>
  <c r="R68" i="8"/>
  <c r="N68" i="8"/>
  <c r="J68" i="8"/>
  <c r="F68" i="8"/>
  <c r="D68" i="8" l="1"/>
  <c r="E151" i="75" l="1"/>
  <c r="E162" i="75" s="1"/>
  <c r="E163" i="75" l="1"/>
  <c r="E166" i="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Vives</author>
  </authors>
  <commentList>
    <comment ref="C20" authorId="0" shapeId="0" xr:uid="{66952CF3-B833-40BF-8879-0A9F0E2F5EA3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  <comment ref="D20" authorId="0" shapeId="0" xr:uid="{102F186E-4006-4CC2-96E7-38ACFB2749D6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  <comment ref="E20" authorId="0" shapeId="0" xr:uid="{FD677BCE-1AD1-4078-8DD3-CF56D7AC5D1E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  <comment ref="F20" authorId="0" shapeId="0" xr:uid="{1D57CF67-8E72-47A5-9C31-A8151B8D35FE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Vives</author>
  </authors>
  <commentList>
    <comment ref="E80" authorId="0" shapeId="0" xr:uid="{34B8A42D-9FD7-4ED9-9C74-F846E4A37464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Vives</author>
  </authors>
  <commentList>
    <comment ref="E80" authorId="0" shapeId="0" xr:uid="{311EFA6C-E219-4ECE-B0C2-C50156ACB3B0}">
      <text>
        <r>
          <rPr>
            <sz val="8"/>
            <color indexed="81"/>
            <rFont val="Tahoma"/>
            <family val="2"/>
          </rPr>
          <t xml:space="preserve">Si hay pax adicional= 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Jumsa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TRANSPORTE A JUMSA</t>
        </r>
      </text>
    </comment>
    <comment ref="M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EUROPALET</t>
        </r>
      </text>
    </comment>
    <comment ref="N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CONTENEDOR 1000 KG.</t>
        </r>
      </text>
    </comment>
    <comment ref="O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BIDON 100KG</t>
        </r>
      </text>
    </comment>
    <comment ref="P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MOHOOS Y LEVADURAS</t>
        </r>
      </text>
    </comment>
    <comment ref="Q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BACTERIAS.</t>
        </r>
      </text>
    </comment>
    <comment ref="R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PRECIO HORA TRABAJO 2026</t>
        </r>
      </text>
    </comment>
    <comment ref="L3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TRANSPORTE A JUMSA</t>
        </r>
      </text>
    </comment>
    <comment ref="M3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EUROPALET</t>
        </r>
      </text>
    </comment>
    <comment ref="N3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CONTENEDOR 1000 KG.</t>
        </r>
      </text>
    </comment>
    <comment ref="O3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BIDON 100KG</t>
        </r>
      </text>
    </comment>
    <comment ref="P3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MOHOOS Y LEVADURAS</t>
        </r>
      </text>
    </comment>
    <comment ref="Q3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BACTERIAS.</t>
        </r>
      </text>
    </comment>
    <comment ref="R3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 
PRECIO HORA TRABAJO 2026</t>
        </r>
      </text>
    </comment>
    <comment ref="L6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TRANSPORTE A JUMSA</t>
        </r>
      </text>
    </comment>
    <comment ref="M6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EUROPALET</t>
        </r>
      </text>
    </comment>
    <comment ref="N6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CONTENEDOR 1000 KG.</t>
        </r>
      </text>
    </comment>
    <comment ref="O6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BIDON 100KG</t>
        </r>
      </text>
    </comment>
    <comment ref="P6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MOHOOS Y LEVADURAS</t>
        </r>
      </text>
    </comment>
    <comment ref="Q6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BACTERIAS.</t>
        </r>
      </text>
    </comment>
    <comment ref="R6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 
PRECIO HORA TRABAJO 2026</t>
        </r>
      </text>
    </comment>
    <comment ref="L10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TRANSPORTE A JUMSA</t>
        </r>
      </text>
    </comment>
    <comment ref="M103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EUROPALET</t>
        </r>
      </text>
    </comment>
    <comment ref="N10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CONTENEDOR 1000 KG.</t>
        </r>
      </text>
    </comment>
    <comment ref="O10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BIDON 100KG</t>
        </r>
      </text>
    </comment>
    <comment ref="P10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MOHOOS Y LEVADURAS</t>
        </r>
      </text>
    </comment>
    <comment ref="Q10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Jumsa:</t>
        </r>
        <r>
          <rPr>
            <sz val="9"/>
            <color indexed="81"/>
            <rFont val="Tahoma"/>
            <family val="2"/>
          </rPr>
          <t xml:space="preserve">
PRECIO ANALISIS BACTERIAS.</t>
        </r>
      </text>
    </comment>
    <comment ref="R10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 xml:space="preserve"> 
PRECIO HORA TRABAJO 2026</t>
        </r>
      </text>
    </comment>
  </commentList>
</comments>
</file>

<file path=xl/sharedStrings.xml><?xml version="1.0" encoding="utf-8"?>
<sst xmlns="http://schemas.openxmlformats.org/spreadsheetml/2006/main" count="3296" uniqueCount="383">
  <si>
    <t>M.P</t>
  </si>
  <si>
    <t>TIEMPO</t>
  </si>
  <si>
    <t>BIDON 100Kg.</t>
  </si>
  <si>
    <t>BIDON 1000Kg.</t>
  </si>
  <si>
    <t>PALET EURO.</t>
  </si>
  <si>
    <t>TRANSPORTE</t>
  </si>
  <si>
    <t>MERMA 8%</t>
  </si>
  <si>
    <t>MERMA 5%</t>
  </si>
  <si>
    <t>SUBTOTAL</t>
  </si>
  <si>
    <t>PRECIO M.O.</t>
  </si>
  <si>
    <t>TOTAL 1</t>
  </si>
  <si>
    <t>TOTAL 2</t>
  </si>
  <si>
    <t>RESIDUOS</t>
  </si>
  <si>
    <t>PRECIOS KG</t>
  </si>
  <si>
    <t>KG FAB.</t>
  </si>
  <si>
    <t>ANALISIS 68€</t>
  </si>
  <si>
    <t>ANALISIS 42€</t>
  </si>
  <si>
    <t>Estuchado</t>
  </si>
  <si>
    <t>Envasado</t>
  </si>
  <si>
    <t>FRASCOS COSMETICA</t>
  </si>
  <si>
    <t>COSTE FIJO: (ENVASADO - 281 €) (ETIQUETADO - 96 €)</t>
  </si>
  <si>
    <t>FRASCOS COSMETICA CAPACIDAD 1ML A 25ML</t>
  </si>
  <si>
    <r>
      <t xml:space="preserve">Etiquetado </t>
    </r>
    <r>
      <rPr>
        <b/>
        <sz val="14"/>
        <color theme="1"/>
        <rFont val="Calibri"/>
        <family val="2"/>
        <scheme val="minor"/>
      </rPr>
      <t>cilíndrico plastico</t>
    </r>
  </si>
  <si>
    <r>
      <t xml:space="preserve">Etiquetado </t>
    </r>
    <r>
      <rPr>
        <b/>
        <sz val="14"/>
        <color theme="1"/>
        <rFont val="Calibri"/>
        <family val="2"/>
        <scheme val="minor"/>
      </rPr>
      <t>cilíndrico vidrio</t>
    </r>
  </si>
  <si>
    <r>
      <t>Etiquetado</t>
    </r>
    <r>
      <rPr>
        <b/>
        <sz val="14"/>
        <color theme="1"/>
        <rFont val="Calibri"/>
        <family val="2"/>
        <scheme val="minor"/>
      </rPr>
      <t xml:space="preserve"> plano plástico</t>
    </r>
  </si>
  <si>
    <r>
      <t xml:space="preserve">Etiquetado </t>
    </r>
    <r>
      <rPr>
        <b/>
        <sz val="14"/>
        <color theme="1"/>
        <rFont val="Calibri"/>
        <family val="2"/>
        <scheme val="minor"/>
      </rPr>
      <t>plano vidrio</t>
    </r>
  </si>
  <si>
    <t>500 unid.</t>
  </si>
  <si>
    <t>1hx1,5p</t>
  </si>
  <si>
    <t>1hx2,5p</t>
  </si>
  <si>
    <t>1,5hx1,5p</t>
  </si>
  <si>
    <t>1,5hx2,5p</t>
  </si>
  <si>
    <t>1000 unid.</t>
  </si>
  <si>
    <t>2hx1,5p</t>
  </si>
  <si>
    <t>2hx2,5p</t>
  </si>
  <si>
    <t>1500 a 2500 unid</t>
  </si>
  <si>
    <t>800h/1,5p</t>
  </si>
  <si>
    <t>800h/2,5p</t>
  </si>
  <si>
    <t>600h/1,5p</t>
  </si>
  <si>
    <t>600h/2,5p</t>
  </si>
  <si>
    <t>2501 a 5000 unid.</t>
  </si>
  <si>
    <t>900h/1,5p</t>
  </si>
  <si>
    <t>900h/2,5p</t>
  </si>
  <si>
    <t>ok</t>
  </si>
  <si>
    <t>700h/1,5p</t>
  </si>
  <si>
    <t>700h/2,5p</t>
  </si>
  <si>
    <t>5001 a 25000 unid.</t>
  </si>
  <si>
    <t>1100h/1,5p</t>
  </si>
  <si>
    <t>1100h/2,5p</t>
  </si>
  <si>
    <t>1000h/1,5p</t>
  </si>
  <si>
    <t>1000h/2,5p</t>
  </si>
  <si>
    <t>Envasado + estuchado</t>
  </si>
  <si>
    <t>2,5h x 3,5p</t>
  </si>
  <si>
    <t>2,5h x 4,5p</t>
  </si>
  <si>
    <t>1h x 3,5p</t>
  </si>
  <si>
    <t>3h x 3,5p</t>
  </si>
  <si>
    <t>3h x 4,5p</t>
  </si>
  <si>
    <t>1,5h x 3,5p</t>
  </si>
  <si>
    <t>600h/3,5p</t>
  </si>
  <si>
    <t>OK</t>
  </si>
  <si>
    <t>600h/4,5p</t>
  </si>
  <si>
    <t>700h/3,5p</t>
  </si>
  <si>
    <t>700h/4,5p</t>
  </si>
  <si>
    <t>750h/3,5p</t>
  </si>
  <si>
    <t>5001 a 15000 unid.</t>
  </si>
  <si>
    <t>800h/3,5p</t>
  </si>
  <si>
    <t>800h/4,5p</t>
  </si>
  <si>
    <t>850h/3,5p</t>
  </si>
  <si>
    <t>15000+</t>
  </si>
  <si>
    <t>1200h/4,5p</t>
  </si>
  <si>
    <t>rollon 1 persona más</t>
  </si>
  <si>
    <t>FRASCOS COSMETICA CAPACIDAD 30ML A 60ML</t>
  </si>
  <si>
    <t>500h/3,5p</t>
  </si>
  <si>
    <t>525h</t>
  </si>
  <si>
    <t>500h/4,5p</t>
  </si>
  <si>
    <t>675h/3,5p</t>
  </si>
  <si>
    <t>625hi</t>
  </si>
  <si>
    <t>625h</t>
  </si>
  <si>
    <t>725h/3,5p</t>
  </si>
  <si>
    <t>825h/3,5p</t>
  </si>
  <si>
    <t>AUTOMATICO</t>
  </si>
  <si>
    <t>FRASCOS COSMETICA CAPACIDAD 75ML A 150ML</t>
  </si>
  <si>
    <t>2,5hx1,5p</t>
  </si>
  <si>
    <t>2,5hx2,5p</t>
  </si>
  <si>
    <t>*En el etiquetado cilindrico de vidrio en el escalado de 500 unidades se ha cambiado el tiempo de 1x2,5p a 1,5x2,5p para que el importe no sea igual que el escalado de 1000 unid</t>
  </si>
  <si>
    <t>c/interior (Mousse julia)</t>
  </si>
  <si>
    <t>450h/3,5p</t>
  </si>
  <si>
    <t>450h/4,5p</t>
  </si>
  <si>
    <t>550h/3,5p</t>
  </si>
  <si>
    <t>550h/4,5p</t>
  </si>
  <si>
    <t>400h/4p</t>
  </si>
  <si>
    <t>650h/3,5p</t>
  </si>
  <si>
    <t>650h/4,5p</t>
  </si>
  <si>
    <t>775h/3,5p</t>
  </si>
  <si>
    <t>FRASCOS COSMETICA CAPACIDAD 200ML A 300ML</t>
  </si>
  <si>
    <t>650h/1,5p</t>
  </si>
  <si>
    <t>650h/2,5p</t>
  </si>
  <si>
    <t>550h/1,5p</t>
  </si>
  <si>
    <t>550h/2,5p</t>
  </si>
  <si>
    <t>750h/1,5p</t>
  </si>
  <si>
    <t>750h/2,5p</t>
  </si>
  <si>
    <t>con interior 1persona +</t>
  </si>
  <si>
    <t>2h x 3,5p</t>
  </si>
  <si>
    <t>425h/3,5p</t>
  </si>
  <si>
    <t>425h/4,5p</t>
  </si>
  <si>
    <t>525h/3,5p</t>
  </si>
  <si>
    <t>525h/4,5p</t>
  </si>
  <si>
    <t>625h/3,5p</t>
  </si>
  <si>
    <t>625h/4,5p</t>
  </si>
  <si>
    <t>FRASCOS COSMETICA CAPACIDAD 400ML A 500ML</t>
  </si>
  <si>
    <t>3hx1,5p</t>
  </si>
  <si>
    <t>3hx2,5p</t>
  </si>
  <si>
    <t>500h/1,5p</t>
  </si>
  <si>
    <t>500h/2,5p</t>
  </si>
  <si>
    <t>400h/3,5p</t>
  </si>
  <si>
    <t>400h/4,5p</t>
  </si>
  <si>
    <t>FRASCOS COSMETICA CAPACIDAD  600ML A 1000ML</t>
  </si>
  <si>
    <t>3,5hx1,5p</t>
  </si>
  <si>
    <t>3,5hx2,5p</t>
  </si>
  <si>
    <t>450h/1,5p</t>
  </si>
  <si>
    <t>450h/2,5p</t>
  </si>
  <si>
    <t>375h/3,5p</t>
  </si>
  <si>
    <t>375h/4,5p</t>
  </si>
  <si>
    <t>TARROS COSMETICA</t>
  </si>
  <si>
    <t>TARROS CAPACIDAD 200ML A 300ML</t>
  </si>
  <si>
    <t>TARROS CAPACIDAD 400ML A 500ML</t>
  </si>
  <si>
    <t>3,5h x 3,5p</t>
  </si>
  <si>
    <t>3,5h x 4,5p</t>
  </si>
  <si>
    <t>TARROS CAPACIDAD  600ML A 1000ML</t>
  </si>
  <si>
    <t>400h/1,5p</t>
  </si>
  <si>
    <t>400h/2,5p</t>
  </si>
  <si>
    <t>5,5h x 2,5p</t>
  </si>
  <si>
    <t>5,5h x 3,5p</t>
  </si>
  <si>
    <t>200h/2,5p</t>
  </si>
  <si>
    <t>200h/3,5p</t>
  </si>
  <si>
    <t>350h/3,5p</t>
  </si>
  <si>
    <t>250h/2,5p</t>
  </si>
  <si>
    <t>250h/3,5p</t>
  </si>
  <si>
    <t>300h/2,5p</t>
  </si>
  <si>
    <t>300h/3,5p</t>
  </si>
  <si>
    <t>FRASCOS AGRAFADOS FRAGANCIAS</t>
  </si>
  <si>
    <t>FRASCOS AGRAFADOS FRAGANCIAS CAPACIDAD 1ML A 25ML</t>
  </si>
  <si>
    <t>233€ ANTES</t>
  </si>
  <si>
    <t>*En el etiquetado plano de vidrio en el escalado de 500 unidades se ha cambiado el tiempo, de 1,5hx1,5p a 2,5hx1,5p para que el importe no sea inferior que el escalado de 1000 unid</t>
  </si>
  <si>
    <r>
      <t xml:space="preserve">Estuchado </t>
    </r>
    <r>
      <rPr>
        <b/>
        <sz val="14"/>
        <color theme="1"/>
        <rFont val="Calibri"/>
        <family val="2"/>
        <scheme val="minor"/>
      </rPr>
      <t>con interior</t>
    </r>
  </si>
  <si>
    <r>
      <t>Estuchado</t>
    </r>
    <r>
      <rPr>
        <b/>
        <sz val="14"/>
        <color theme="1"/>
        <rFont val="Calibri"/>
        <family val="2"/>
        <scheme val="minor"/>
      </rPr>
      <t xml:space="preserve"> sin interior</t>
    </r>
  </si>
  <si>
    <t>2,5h x 5,5p</t>
  </si>
  <si>
    <t>1,5h x 4,5p</t>
  </si>
  <si>
    <t>3h x 5,5p</t>
  </si>
  <si>
    <t>2h x 4,5p</t>
  </si>
  <si>
    <t>425h/5,5p</t>
  </si>
  <si>
    <t>450h/5,5p</t>
  </si>
  <si>
    <t>575h/4,5p</t>
  </si>
  <si>
    <t>575h/3,5p</t>
  </si>
  <si>
    <t>5001 a 10000 unid.</t>
  </si>
  <si>
    <t>500h/5,5p</t>
  </si>
  <si>
    <t>Automático +10000</t>
  </si>
  <si>
    <t>1200h/5,5p</t>
  </si>
  <si>
    <t>Más 10000u.</t>
  </si>
  <si>
    <t>FRASCOS AGRAFADOS FRAGANCIAS CAPACIDAD 30ML A 60ML</t>
  </si>
  <si>
    <t>325h</t>
  </si>
  <si>
    <t>400h/5,5p</t>
  </si>
  <si>
    <t>350h</t>
  </si>
  <si>
    <t>475h/4,5p</t>
  </si>
  <si>
    <t>475h/3,5p</t>
  </si>
  <si>
    <t>1150h/5,5p</t>
  </si>
  <si>
    <t>FRASCOS AGRAFADOS FRAGANCIAS CAPACIDAD 75ML A 100ML</t>
  </si>
  <si>
    <t>3,5h x 5,5p</t>
  </si>
  <si>
    <t>300h/4,5p</t>
  </si>
  <si>
    <t>300h/5,5p</t>
  </si>
  <si>
    <t>325h/4,5p</t>
  </si>
  <si>
    <t>325h/5,5p</t>
  </si>
  <si>
    <t>350h/4,5p</t>
  </si>
  <si>
    <t>350h/5,5p</t>
  </si>
  <si>
    <t>Automático +10000u.</t>
  </si>
  <si>
    <t>1100h/5,5p</t>
  </si>
  <si>
    <t>Unidades</t>
  </si>
  <si>
    <t>Concepto</t>
  </si>
  <si>
    <t>Capacidad envase (ml):</t>
  </si>
  <si>
    <t>Envase</t>
  </si>
  <si>
    <t>Subtotal materiales</t>
  </si>
  <si>
    <t>Total materiales</t>
  </si>
  <si>
    <t>Cliente</t>
  </si>
  <si>
    <t>Producto</t>
  </si>
  <si>
    <t>Embalaje</t>
  </si>
  <si>
    <t>Bulk</t>
  </si>
  <si>
    <t>Full Service</t>
  </si>
  <si>
    <t>El cliente envía las materias primas; reduce precio y margen.</t>
  </si>
  <si>
    <t>Cliente aporta MP</t>
  </si>
  <si>
    <t>Clasifica si el producto es nuevo, repetido, actualización de costes o regular.</t>
  </si>
  <si>
    <t>Estado de Fórmula</t>
  </si>
  <si>
    <t>Indica quién aporta las materias primas: Cliente, Jumsa o Mixto.</t>
  </si>
  <si>
    <t>Origen MP</t>
  </si>
  <si>
    <t>Servicio completo: fórmula + fabricación + envasado + logística.</t>
  </si>
  <si>
    <t>Producción de la fórmula + envasado</t>
  </si>
  <si>
    <t>Bulk + envasado</t>
  </si>
  <si>
    <t>Producción de la fórmula; el cliente se encarga del envasado.</t>
  </si>
  <si>
    <t>El cliente aporta el producto a granel; Jumsa solo realiza el envasado.</t>
  </si>
  <si>
    <t>Definición</t>
  </si>
  <si>
    <t>A jumsa</t>
  </si>
  <si>
    <t>Tabla precios escandallo Angel - otros conceptos</t>
  </si>
  <si>
    <t xml:space="preserve">Tiempo de fabricación </t>
  </si>
  <si>
    <t>Analisis bacterias (€/kg)</t>
  </si>
  <si>
    <t>Bidon 100kg (€/kg)</t>
  </si>
  <si>
    <t>Bidon 1000k (€/kg)</t>
  </si>
  <si>
    <t>Analisis Mohos y levaduras (€/kg)</t>
  </si>
  <si>
    <t xml:space="preserve">Nº de Bidones de 1000 kg </t>
  </si>
  <si>
    <t>Nº de palets</t>
  </si>
  <si>
    <t>Nº de transportes</t>
  </si>
  <si>
    <t>Transporte a Jumsa (€/Kg)</t>
  </si>
  <si>
    <t>Palet euro. (€/kg)</t>
  </si>
  <si>
    <t>Merma (€/kg)</t>
  </si>
  <si>
    <t>Residuos (€/kg)</t>
  </si>
  <si>
    <t>Precio transporte a JUMSA (€)</t>
  </si>
  <si>
    <t>Precio euro palet (€)</t>
  </si>
  <si>
    <t>Precio contenedor 1000 kg (€)</t>
  </si>
  <si>
    <t>Precio Bidon 100 kg (€)</t>
  </si>
  <si>
    <t>Precio analisis Mohoos Y levaduras  (€)</t>
  </si>
  <si>
    <t>Precio analisis bacterias  (€)</t>
  </si>
  <si>
    <t>Garrafa 60L (€)</t>
  </si>
  <si>
    <t>Cubo 10L (€)</t>
  </si>
  <si>
    <t>Bidon 60L (€)</t>
  </si>
  <si>
    <t>Deposito 100L (€)</t>
  </si>
  <si>
    <t>Palet (€)</t>
  </si>
  <si>
    <t>Transporte a Jumsa (€)</t>
  </si>
  <si>
    <t>Total otros conceptos (€/kg)</t>
  </si>
  <si>
    <t>Tasa €/hora 2026</t>
  </si>
  <si>
    <t>Materiales  (€/ud.)</t>
  </si>
  <si>
    <t>General</t>
  </si>
  <si>
    <t>Según Kilos</t>
  </si>
  <si>
    <t>Porcentaje Residuos</t>
  </si>
  <si>
    <t>Merma 70 &lt; 1500</t>
  </si>
  <si>
    <t>Merma &gt; 70Kgs</t>
  </si>
  <si>
    <t>Porcentaje Merma</t>
  </si>
  <si>
    <t>Kilos</t>
  </si>
  <si>
    <t xml:space="preserve">Total  Coper (€/ud)  </t>
  </si>
  <si>
    <t>A PARTIR DE 75ml TIENE QUE IR BIEN COLOCADOS</t>
  </si>
  <si>
    <t>MAYENTIS TUBO 250Ml 3000 UNID. 218 € (2025)</t>
  </si>
  <si>
    <t>Capcidad (ml)</t>
  </si>
  <si>
    <t>Cantidad</t>
  </si>
  <si>
    <t>TOTAL PRESUPUESTO</t>
  </si>
  <si>
    <t>Precio (€)</t>
  </si>
  <si>
    <t>Pax adicional</t>
  </si>
  <si>
    <t>COSTE FIJO</t>
  </si>
  <si>
    <t>Precio unidad</t>
  </si>
  <si>
    <t>Metálicos</t>
  </si>
  <si>
    <t>Elípticos</t>
  </si>
  <si>
    <t>Tabla precios varios</t>
  </si>
  <si>
    <t>Operación</t>
  </si>
  <si>
    <t>Personas</t>
  </si>
  <si>
    <t>Tiempo (h)</t>
  </si>
  <si>
    <t>Total horas</t>
  </si>
  <si>
    <t>Coste unidad</t>
  </si>
  <si>
    <t>Piezas /hora</t>
  </si>
  <si>
    <t>Turnos</t>
  </si>
  <si>
    <t>Que era el 1400 en vermell??</t>
  </si>
  <si>
    <t>Lo de rollon 1 pax más es en todas??</t>
  </si>
  <si>
    <t>Envasado Rollon</t>
  </si>
  <si>
    <t>Coste Millar</t>
  </si>
  <si>
    <t>MO Planta Jumsa</t>
  </si>
  <si>
    <t>Total  Planta Coper (€/kg)</t>
  </si>
  <si>
    <t>Total Planta Coper (€/ud)</t>
  </si>
  <si>
    <t xml:space="preserve">Com juguen el salts </t>
  </si>
  <si>
    <t>Que son els vermells</t>
  </si>
  <si>
    <t>Etiquetado cilíndrico plastico</t>
  </si>
  <si>
    <t>Etiquetado cilíndrico vidrio</t>
  </si>
  <si>
    <r>
      <t>Etiquetado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plano plástico</t>
    </r>
  </si>
  <si>
    <t>Etiquetado plano vidrio</t>
  </si>
  <si>
    <t>De 30 a 60</t>
  </si>
  <si>
    <t>Tipo envase</t>
  </si>
  <si>
    <t>Frascos</t>
  </si>
  <si>
    <t>Tarros</t>
  </si>
  <si>
    <t>Frascos Agrafados</t>
  </si>
  <si>
    <t>que es automático???</t>
  </si>
  <si>
    <t>Estuchado con interior</t>
  </si>
  <si>
    <t>Que es auotmático???</t>
  </si>
  <si>
    <t>Porque los agrafados tienen 2 estuchados , com interior y sin interior???</t>
  </si>
  <si>
    <t>,</t>
  </si>
  <si>
    <t>Estuchado sin interior</t>
  </si>
  <si>
    <t>TARIFA 1 (FORMULACIONES HASTA 10€ MP)– 223</t>
  </si>
  <si>
    <t>TARIFA 2 (FORMULACIONES SUPERIORES A 10€ MP – 274</t>
  </si>
  <si>
    <t>TARIFA 3 (FORMULACIONES DE MAS DE 20€ MP - 325</t>
  </si>
  <si>
    <t>TARIFA 4 (FORMULACIONES DE MAS DE 30€ MP - 440</t>
  </si>
  <si>
    <t>Tasa €/hora</t>
  </si>
  <si>
    <t>Tiempo (horas)</t>
  </si>
  <si>
    <t>Nº de Bidones de 100 kg (uds)</t>
  </si>
  <si>
    <t>Total  (€/ ud)</t>
  </si>
  <si>
    <t>Etiquetas de fila</t>
  </si>
  <si>
    <t>Total general</t>
  </si>
  <si>
    <t>Tiempo (uds /hora)</t>
  </si>
  <si>
    <t>Unidad de referencia</t>
  </si>
  <si>
    <t>Etiquetado</t>
  </si>
  <si>
    <t>Env. + Est.</t>
  </si>
  <si>
    <t>Pers.</t>
  </si>
  <si>
    <t>Coste unidad Tarifas</t>
  </si>
  <si>
    <t>Tasas Coper (€/hora)</t>
  </si>
  <si>
    <t>Tasas Jumsa (€/Hora)</t>
  </si>
  <si>
    <t xml:space="preserve">Estuche </t>
  </si>
  <si>
    <t>Etiqueta</t>
  </si>
  <si>
    <t>Palet</t>
  </si>
  <si>
    <t>Total Planta Jumsa (€/ud)</t>
  </si>
  <si>
    <t xml:space="preserve">Datos </t>
  </si>
  <si>
    <t>Estándar</t>
  </si>
  <si>
    <t>Tubos</t>
  </si>
  <si>
    <t>Planta Coper</t>
  </si>
  <si>
    <t>Coste operación</t>
  </si>
  <si>
    <t>Metálicos (+85%)</t>
  </si>
  <si>
    <t>Elípticos (+85%)</t>
  </si>
  <si>
    <t>Envasado Tubos</t>
  </si>
  <si>
    <t>Envasado Tubo</t>
  </si>
  <si>
    <t>n.d.</t>
  </si>
  <si>
    <t>€ / ud.</t>
  </si>
  <si>
    <t>€ / millar ud.</t>
  </si>
  <si>
    <t>n.a.</t>
  </si>
  <si>
    <t>Servicio</t>
  </si>
  <si>
    <t>Materiales Lab. Coper</t>
  </si>
  <si>
    <t>Total Materiales (€/ud)</t>
  </si>
  <si>
    <t>Elegir tarifa €/hora</t>
  </si>
  <si>
    <t>€/ud tubo</t>
  </si>
  <si>
    <t>Componente</t>
  </si>
  <si>
    <t>Total</t>
  </si>
  <si>
    <t>Comentarios</t>
  </si>
  <si>
    <t>TERNUM</t>
  </si>
  <si>
    <t>Ovalado (+40%)</t>
  </si>
  <si>
    <t>DB ENVASADO TUBO</t>
  </si>
  <si>
    <t>DB ENVASADO, ESTUCHADO Y ETIQUETADO</t>
  </si>
  <si>
    <t>Envasado Estándar</t>
  </si>
  <si>
    <t xml:space="preserve">Total Jumsa (€/ud)  </t>
  </si>
  <si>
    <t>Importe (€/ud.)</t>
  </si>
  <si>
    <t xml:space="preserve">Ajuste </t>
  </si>
  <si>
    <t>Sin tiempos ver tarifa directamente</t>
  </si>
  <si>
    <t>Ovales</t>
  </si>
  <si>
    <t>Airless</t>
  </si>
  <si>
    <t>Si son 9K uds se buscar en el rango 5 k a 10 k</t>
  </si>
  <si>
    <t xml:space="preserve">Los tubos no hay trazabilidad de formulas - entiendo que es mismo €/hora </t>
  </si>
  <si>
    <t>Se reparte el coste del embalaje en función de la cantidad de tubos que caben</t>
  </si>
  <si>
    <t xml:space="preserve">J002 bien posicionados </t>
  </si>
  <si>
    <t>El posicionado influye en el coste , porque requiere +1 pax</t>
  </si>
  <si>
    <t>El ultimo airless me da 105 , no es material</t>
  </si>
  <si>
    <t>MESOBEAUTY</t>
  </si>
  <si>
    <t>EDT PROMOCIONAL 10ML.</t>
  </si>
  <si>
    <t>Bulk + Envs</t>
  </si>
  <si>
    <t xml:space="preserve">MP </t>
  </si>
  <si>
    <t>Coste MP de la fórmula (€/kg)</t>
  </si>
  <si>
    <t>MO Planta Coper</t>
  </si>
  <si>
    <t>Total MO (€/kg)</t>
  </si>
  <si>
    <t>Otros conceptos planta Coper</t>
  </si>
  <si>
    <t>Total planta Coper</t>
  </si>
  <si>
    <t>Subtotal (Mp + MO +Otros)  (€/Kg)</t>
  </si>
  <si>
    <t>Porcentaje de merma (%)</t>
  </si>
  <si>
    <t>Porcentaje de residuos (%)</t>
  </si>
  <si>
    <t>Compras  -  escandallo Angel</t>
  </si>
  <si>
    <t>Escandallo Angel</t>
  </si>
  <si>
    <t>476/25</t>
  </si>
  <si>
    <t>Presp</t>
  </si>
  <si>
    <t>Parece ser tarifa 1 incrementada</t>
  </si>
  <si>
    <t>No se porque no cotiza el palet</t>
  </si>
  <si>
    <t>Cuanto lleva cada transporte?</t>
  </si>
  <si>
    <t>Análisis Bacterias</t>
  </si>
  <si>
    <t>Análisis Mohos y Levaduras</t>
  </si>
  <si>
    <t>Coste Mp</t>
  </si>
  <si>
    <t>Coste Mo</t>
  </si>
  <si>
    <t>Coste otros</t>
  </si>
  <si>
    <t>Tabla selección Si/No</t>
  </si>
  <si>
    <t xml:space="preserve">Si </t>
  </si>
  <si>
    <t>No</t>
  </si>
  <si>
    <t>Vincular Formules</t>
  </si>
  <si>
    <t>FRASCO 15ML. INCOLORO SERIGRAFIA 1 TINTA</t>
  </si>
  <si>
    <t>VAPO NEGRO ROSCA CON TAPA MONTADA</t>
  </si>
  <si>
    <t xml:space="preserve">ESTUCHE FOLDING BLANCO  </t>
  </si>
  <si>
    <t>EMBALAJE 250 U</t>
  </si>
  <si>
    <t>ETIQUETA DE EMBALAJE</t>
  </si>
  <si>
    <t>PALETS EURO 8000 U.</t>
  </si>
  <si>
    <t>Puede incluir tiempo de pesada , fabricación, maceración, enfriamento, análisis, limpieza y ajuste de color</t>
  </si>
  <si>
    <t>Ir anotando en bbdd</t>
  </si>
  <si>
    <t>Es de 10 ml pero pone 11 ml para el calculo de coste coper</t>
  </si>
  <si>
    <t>Hay que seleccionar del escandallo los tiempos en función del escalado</t>
  </si>
  <si>
    <t>Vincular a BD</t>
  </si>
  <si>
    <t>Capcidad min (ml)</t>
  </si>
  <si>
    <t>Capcidad max (ml)</t>
  </si>
  <si>
    <t>Escalado min (uds)</t>
  </si>
  <si>
    <t>Escalado max (uds)</t>
  </si>
  <si>
    <t>Capacidad min (ml)</t>
  </si>
  <si>
    <t>Capacidad max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</si>
</sst>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€&quot;;[Red]\-#,##0\ &quot;€&quot;"/>
    <numFmt numFmtId="164" formatCode="0.000"/>
    <numFmt numFmtId="165" formatCode="#,##0\ &quot;€&quot;"/>
    <numFmt numFmtId="166" formatCode="#,##0.000"/>
    <numFmt numFmtId="167" formatCode="0.0%"/>
    <numFmt numFmtId="168" formatCode="0.0"/>
    <numFmt numFmtId="169" formatCode="#,##0.0"/>
    <numFmt numFmtId="170" formatCode="#,##0.0000"/>
    <numFmt numFmtId="171" formatCode="#,##0.000000"/>
  </numFmts>
  <fonts count="4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36"/>
      <color rgb="FFFF000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name val="Calibri"/>
      <family val="2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sz val="9"/>
      <color theme="3"/>
      <name val="Calibri"/>
      <family val="2"/>
      <scheme val="minor"/>
    </font>
    <font>
      <sz val="9"/>
      <color theme="3"/>
      <name val="Arial"/>
      <family val="2"/>
    </font>
    <font>
      <b/>
      <sz val="8"/>
      <name val="Calibri"/>
      <family val="2"/>
      <scheme val="minor"/>
    </font>
    <font>
      <sz val="9"/>
      <color rgb="FF1F497D"/>
      <name val="Calibri"/>
      <family val="2"/>
      <scheme val="minor"/>
    </font>
    <font>
      <sz val="8"/>
      <color rgb="FF1F497D"/>
      <name val="Calibri"/>
      <family val="2"/>
      <scheme val="minor"/>
    </font>
    <font>
      <sz val="9"/>
      <color rgb="FF1F497D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3">
    <xf numFmtId="0" fontId="0" fillId="0" borderId="0"/>
    <xf numFmtId="9" fontId="23" fillId="0" borderId="0" applyFont="0" applyFill="0" applyBorder="0" applyAlignment="0" applyProtection="0"/>
    <xf numFmtId="0" fontId="24" fillId="0" borderId="0"/>
  </cellStyleXfs>
  <cellXfs count="21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4" fillId="2" borderId="0" xfId="0" applyFont="1" applyFill="1" applyAlignment="1">
      <alignment horizontal="left"/>
    </xf>
    <xf numFmtId="2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2" fontId="0" fillId="0" borderId="0" xfId="0" applyNumberFormat="1"/>
    <xf numFmtId="2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0" fontId="4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right"/>
    </xf>
    <xf numFmtId="2" fontId="3" fillId="3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4" fontId="0" fillId="0" borderId="0" xfId="0" applyNumberFormat="1"/>
    <xf numFmtId="0" fontId="0" fillId="5" borderId="0" xfId="0" applyFill="1"/>
    <xf numFmtId="0" fontId="12" fillId="0" borderId="0" xfId="0" applyFont="1"/>
    <xf numFmtId="0" fontId="13" fillId="0" borderId="0" xfId="0" applyFont="1"/>
    <xf numFmtId="0" fontId="0" fillId="6" borderId="0" xfId="0" applyFill="1"/>
    <xf numFmtId="0" fontId="14" fillId="7" borderId="0" xfId="0" applyFont="1" applyFill="1"/>
    <xf numFmtId="0" fontId="15" fillId="7" borderId="0" xfId="0" applyFont="1" applyFill="1"/>
    <xf numFmtId="0" fontId="0" fillId="7" borderId="0" xfId="0" applyFill="1"/>
    <xf numFmtId="0" fontId="16" fillId="7" borderId="0" xfId="0" applyFont="1" applyFill="1"/>
    <xf numFmtId="0" fontId="7" fillId="7" borderId="0" xfId="0" applyFont="1" applyFill="1"/>
    <xf numFmtId="6" fontId="0" fillId="7" borderId="0" xfId="0" applyNumberFormat="1" applyFill="1"/>
    <xf numFmtId="6" fontId="0" fillId="7" borderId="0" xfId="0" applyNumberFormat="1" applyFill="1" applyAlignment="1">
      <alignment horizontal="center"/>
    </xf>
    <xf numFmtId="165" fontId="0" fillId="7" borderId="0" xfId="0" applyNumberFormat="1" applyFill="1"/>
    <xf numFmtId="165" fontId="10" fillId="7" borderId="0" xfId="0" applyNumberFormat="1" applyFont="1" applyFill="1"/>
    <xf numFmtId="165" fontId="7" fillId="7" borderId="0" xfId="0" applyNumberFormat="1" applyFont="1" applyFill="1"/>
    <xf numFmtId="0" fontId="7" fillId="7" borderId="0" xfId="0" applyFont="1" applyFill="1" applyAlignment="1">
      <alignment horizontal="left"/>
    </xf>
    <xf numFmtId="0" fontId="16" fillId="7" borderId="0" xfId="0" applyFont="1" applyFill="1" applyAlignment="1">
      <alignment horizontal="left"/>
    </xf>
    <xf numFmtId="6" fontId="7" fillId="7" borderId="0" xfId="0" applyNumberFormat="1" applyFont="1" applyFill="1"/>
    <xf numFmtId="0" fontId="14" fillId="5" borderId="0" xfId="0" applyFont="1" applyFill="1"/>
    <xf numFmtId="0" fontId="16" fillId="5" borderId="0" xfId="0" applyFont="1" applyFill="1"/>
    <xf numFmtId="6" fontId="0" fillId="5" borderId="0" xfId="0" applyNumberFormat="1" applyFill="1"/>
    <xf numFmtId="0" fontId="7" fillId="5" borderId="0" xfId="0" applyFont="1" applyFill="1" applyAlignment="1">
      <alignment horizontal="left"/>
    </xf>
    <xf numFmtId="0" fontId="16" fillId="5" borderId="0" xfId="0" applyFont="1" applyFill="1" applyAlignment="1">
      <alignment horizontal="left"/>
    </xf>
    <xf numFmtId="0" fontId="7" fillId="5" borderId="0" xfId="0" applyFont="1" applyFill="1"/>
    <xf numFmtId="6" fontId="7" fillId="5" borderId="0" xfId="0" applyNumberFormat="1" applyFont="1" applyFill="1"/>
    <xf numFmtId="0" fontId="14" fillId="8" borderId="0" xfId="0" applyFont="1" applyFill="1"/>
    <xf numFmtId="0" fontId="16" fillId="8" borderId="0" xfId="0" applyFont="1" applyFill="1"/>
    <xf numFmtId="0" fontId="0" fillId="8" borderId="0" xfId="0" applyFill="1"/>
    <xf numFmtId="6" fontId="0" fillId="8" borderId="0" xfId="0" applyNumberFormat="1" applyFill="1"/>
    <xf numFmtId="6" fontId="10" fillId="8" borderId="0" xfId="0" applyNumberFormat="1" applyFont="1" applyFill="1"/>
    <xf numFmtId="6" fontId="0" fillId="8" borderId="0" xfId="0" applyNumberFormat="1" applyFill="1" applyAlignment="1">
      <alignment horizontal="left"/>
    </xf>
    <xf numFmtId="0" fontId="7" fillId="8" borderId="0" xfId="0" applyFont="1" applyFill="1"/>
    <xf numFmtId="0" fontId="18" fillId="8" borderId="0" xfId="0" applyFont="1" applyFill="1"/>
    <xf numFmtId="0" fontId="16" fillId="8" borderId="0" xfId="0" applyFont="1" applyFill="1" applyAlignment="1">
      <alignment horizontal="left"/>
    </xf>
    <xf numFmtId="164" fontId="0" fillId="8" borderId="0" xfId="0" applyNumberFormat="1" applyFill="1"/>
    <xf numFmtId="0" fontId="7" fillId="8" borderId="0" xfId="0" applyFont="1" applyFill="1" applyAlignment="1">
      <alignment horizontal="left"/>
    </xf>
    <xf numFmtId="0" fontId="14" fillId="9" borderId="0" xfId="0" applyFont="1" applyFill="1"/>
    <xf numFmtId="0" fontId="16" fillId="9" borderId="0" xfId="0" applyFont="1" applyFill="1"/>
    <xf numFmtId="0" fontId="0" fillId="9" borderId="0" xfId="0" applyFill="1"/>
    <xf numFmtId="6" fontId="0" fillId="9" borderId="0" xfId="0" applyNumberFormat="1" applyFill="1"/>
    <xf numFmtId="0" fontId="7" fillId="9" borderId="0" xfId="0" applyFont="1" applyFill="1" applyAlignment="1">
      <alignment horizontal="left"/>
    </xf>
    <xf numFmtId="0" fontId="16" fillId="9" borderId="0" xfId="0" applyFont="1" applyFill="1" applyAlignment="1">
      <alignment horizontal="left"/>
    </xf>
    <xf numFmtId="0" fontId="7" fillId="9" borderId="0" xfId="0" applyFont="1" applyFill="1"/>
    <xf numFmtId="0" fontId="19" fillId="9" borderId="0" xfId="0" applyFont="1" applyFill="1"/>
    <xf numFmtId="0" fontId="14" fillId="4" borderId="0" xfId="0" applyFont="1" applyFill="1"/>
    <xf numFmtId="0" fontId="16" fillId="4" borderId="0" xfId="0" applyFont="1" applyFill="1"/>
    <xf numFmtId="0" fontId="0" fillId="4" borderId="0" xfId="0" applyFill="1"/>
    <xf numFmtId="6" fontId="0" fillId="4" borderId="0" xfId="0" applyNumberFormat="1" applyFill="1"/>
    <xf numFmtId="0" fontId="16" fillId="4" borderId="0" xfId="0" applyFont="1" applyFill="1" applyAlignment="1">
      <alignment horizontal="left"/>
    </xf>
    <xf numFmtId="0" fontId="14" fillId="10" borderId="0" xfId="0" applyFont="1" applyFill="1"/>
    <xf numFmtId="0" fontId="16" fillId="10" borderId="0" xfId="0" applyFont="1" applyFill="1"/>
    <xf numFmtId="0" fontId="0" fillId="10" borderId="0" xfId="0" applyFill="1"/>
    <xf numFmtId="6" fontId="0" fillId="10" borderId="0" xfId="0" applyNumberFormat="1" applyFill="1"/>
    <xf numFmtId="0" fontId="16" fillId="10" borderId="0" xfId="0" applyFont="1" applyFill="1" applyAlignment="1">
      <alignment horizontal="left"/>
    </xf>
    <xf numFmtId="0" fontId="7" fillId="10" borderId="0" xfId="0" applyFont="1" applyFill="1"/>
    <xf numFmtId="0" fontId="20" fillId="9" borderId="0" xfId="0" applyFont="1" applyFill="1"/>
    <xf numFmtId="6" fontId="18" fillId="7" borderId="0" xfId="0" applyNumberFormat="1" applyFont="1" applyFill="1"/>
    <xf numFmtId="0" fontId="10" fillId="7" borderId="0" xfId="0" applyFont="1" applyFill="1"/>
    <xf numFmtId="0" fontId="21" fillId="7" borderId="0" xfId="0" applyFont="1" applyFill="1"/>
    <xf numFmtId="0" fontId="0" fillId="7" borderId="0" xfId="0" applyFill="1" applyAlignment="1">
      <alignment horizontal="left"/>
    </xf>
    <xf numFmtId="6" fontId="18" fillId="5" borderId="0" xfId="0" applyNumberFormat="1" applyFont="1" applyFill="1"/>
    <xf numFmtId="0" fontId="22" fillId="5" borderId="0" xfId="0" applyFont="1" applyFill="1"/>
    <xf numFmtId="0" fontId="21" fillId="5" borderId="0" xfId="0" applyFont="1" applyFill="1"/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2" fontId="3" fillId="11" borderId="0" xfId="0" applyNumberFormat="1" applyFont="1" applyFill="1" applyAlignment="1">
      <alignment horizontal="center"/>
    </xf>
    <xf numFmtId="0" fontId="25" fillId="0" borderId="0" xfId="2" applyFont="1"/>
    <xf numFmtId="0" fontId="20" fillId="0" borderId="0" xfId="0" applyFont="1"/>
    <xf numFmtId="0" fontId="26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3" fontId="20" fillId="13" borderId="0" xfId="0" applyNumberFormat="1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9" fillId="0" borderId="0" xfId="0" applyFont="1"/>
    <xf numFmtId="4" fontId="27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8" fillId="0" borderId="0" xfId="0" applyFont="1"/>
    <xf numFmtId="0" fontId="26" fillId="13" borderId="0" xfId="0" applyFont="1" applyFill="1" applyAlignment="1">
      <alignment horizontal="center"/>
    </xf>
    <xf numFmtId="9" fontId="26" fillId="13" borderId="0" xfId="1" applyFont="1" applyFill="1" applyAlignment="1">
      <alignment horizontal="center"/>
    </xf>
    <xf numFmtId="0" fontId="27" fillId="12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0" fontId="32" fillId="0" borderId="0" xfId="0" applyFont="1"/>
    <xf numFmtId="164" fontId="20" fillId="0" borderId="0" xfId="0" applyNumberFormat="1" applyFont="1" applyAlignment="1">
      <alignment horizontal="center"/>
    </xf>
    <xf numFmtId="9" fontId="20" fillId="13" borderId="0" xfId="0" applyNumberFormat="1" applyFont="1" applyFill="1" applyAlignment="1">
      <alignment horizontal="center"/>
    </xf>
    <xf numFmtId="0" fontId="34" fillId="0" borderId="0" xfId="0" applyFont="1"/>
    <xf numFmtId="2" fontId="34" fillId="0" borderId="0" xfId="0" applyNumberFormat="1" applyFont="1" applyAlignment="1">
      <alignment horizontal="center"/>
    </xf>
    <xf numFmtId="0" fontId="30" fillId="0" borderId="0" xfId="2" applyFont="1"/>
    <xf numFmtId="166" fontId="20" fillId="13" borderId="0" xfId="0" applyNumberFormat="1" applyFont="1" applyFill="1" applyAlignment="1">
      <alignment horizontal="center"/>
    </xf>
    <xf numFmtId="4" fontId="20" fillId="13" borderId="0" xfId="0" applyNumberFormat="1" applyFont="1" applyFill="1" applyAlignment="1">
      <alignment horizontal="center"/>
    </xf>
    <xf numFmtId="167" fontId="20" fillId="13" borderId="0" xfId="1" applyNumberFormat="1" applyFont="1" applyFill="1" applyAlignment="1">
      <alignment horizontal="center"/>
    </xf>
    <xf numFmtId="0" fontId="3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2" fontId="3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8" fontId="0" fillId="0" borderId="0" xfId="0" applyNumberFormat="1"/>
    <xf numFmtId="1" fontId="0" fillId="0" borderId="0" xfId="0" applyNumberFormat="1"/>
    <xf numFmtId="0" fontId="8" fillId="17" borderId="0" xfId="0" applyFont="1" applyFill="1" applyAlignment="1">
      <alignment horizontal="center"/>
    </xf>
    <xf numFmtId="0" fontId="27" fillId="17" borderId="0" xfId="0" applyFont="1" applyFill="1"/>
    <xf numFmtId="0" fontId="20" fillId="17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168" fontId="0" fillId="8" borderId="0" xfId="0" applyNumberForma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38" fillId="12" borderId="0" xfId="0" applyFont="1" applyFill="1" applyAlignment="1">
      <alignment horizontal="center" vertical="top" wrapText="1"/>
    </xf>
    <xf numFmtId="0" fontId="20" fillId="0" borderId="0" xfId="0" applyFont="1" applyAlignment="1">
      <alignment horizontal="center" wrapText="1"/>
    </xf>
    <xf numFmtId="0" fontId="27" fillId="0" borderId="2" xfId="0" applyFont="1" applyBorder="1"/>
    <xf numFmtId="0" fontId="20" fillId="0" borderId="2" xfId="0" applyFont="1" applyBorder="1"/>
    <xf numFmtId="0" fontId="26" fillId="13" borderId="0" xfId="2" applyFont="1" applyFill="1" applyAlignment="1">
      <alignment horizontal="center" vertical="center"/>
    </xf>
    <xf numFmtId="4" fontId="26" fillId="13" borderId="0" xfId="2" applyNumberFormat="1" applyFont="1" applyFill="1" applyAlignment="1">
      <alignment horizontal="center" vertical="center"/>
    </xf>
    <xf numFmtId="0" fontId="33" fillId="15" borderId="2" xfId="0" applyFont="1" applyFill="1" applyBorder="1"/>
    <xf numFmtId="0" fontId="35" fillId="15" borderId="2" xfId="0" applyFont="1" applyFill="1" applyBorder="1"/>
    <xf numFmtId="0" fontId="26" fillId="0" borderId="0" xfId="0" applyFont="1" applyAlignment="1">
      <alignment horizontal="center"/>
    </xf>
    <xf numFmtId="2" fontId="27" fillId="0" borderId="1" xfId="0" applyNumberFormat="1" applyFont="1" applyBorder="1" applyAlignment="1">
      <alignment horizontal="center"/>
    </xf>
    <xf numFmtId="0" fontId="27" fillId="16" borderId="2" xfId="0" applyFont="1" applyFill="1" applyBorder="1"/>
    <xf numFmtId="164" fontId="28" fillId="0" borderId="1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0" fontId="27" fillId="0" borderId="3" xfId="0" applyFont="1" applyBorder="1"/>
    <xf numFmtId="0" fontId="20" fillId="0" borderId="3" xfId="0" applyFont="1" applyBorder="1"/>
    <xf numFmtId="4" fontId="27" fillId="0" borderId="1" xfId="0" applyNumberFormat="1" applyFont="1" applyBorder="1" applyAlignment="1">
      <alignment horizontal="center"/>
    </xf>
    <xf numFmtId="169" fontId="20" fillId="0" borderId="0" xfId="0" applyNumberFormat="1" applyFont="1" applyAlignment="1">
      <alignment horizontal="center"/>
    </xf>
    <xf numFmtId="3" fontId="26" fillId="13" borderId="0" xfId="0" applyNumberFormat="1" applyFont="1" applyFill="1" applyAlignment="1">
      <alignment horizontal="center"/>
    </xf>
    <xf numFmtId="4" fontId="28" fillId="0" borderId="1" xfId="0" applyNumberFormat="1" applyFont="1" applyBorder="1" applyAlignment="1">
      <alignment horizontal="center"/>
    </xf>
    <xf numFmtId="0" fontId="27" fillId="16" borderId="2" xfId="0" applyFont="1" applyFill="1" applyBorder="1" applyAlignment="1">
      <alignment horizontal="center"/>
    </xf>
    <xf numFmtId="0" fontId="27" fillId="17" borderId="0" xfId="0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11" fillId="16" borderId="0" xfId="0" applyFont="1" applyFill="1" applyAlignment="1">
      <alignment horizontal="left" indent="1"/>
    </xf>
    <xf numFmtId="0" fontId="11" fillId="16" borderId="0" xfId="0" applyFont="1" applyFill="1" applyAlignment="1">
      <alignment horizontal="left"/>
    </xf>
    <xf numFmtId="0" fontId="11" fillId="16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166" fontId="8" fillId="16" borderId="0" xfId="0" applyNumberFormat="1" applyFont="1" applyFill="1" applyAlignment="1">
      <alignment horizontal="center"/>
    </xf>
    <xf numFmtId="0" fontId="20" fillId="0" borderId="0" xfId="0" pivotButton="1" applyFont="1" applyAlignment="1">
      <alignment horizontal="center"/>
    </xf>
    <xf numFmtId="0" fontId="7" fillId="0" borderId="0" xfId="0" applyFont="1" applyAlignment="1">
      <alignment horizontal="left"/>
    </xf>
    <xf numFmtId="2" fontId="28" fillId="0" borderId="4" xfId="0" applyNumberFormat="1" applyFont="1" applyBorder="1" applyAlignment="1">
      <alignment horizontal="center"/>
    </xf>
    <xf numFmtId="0" fontId="26" fillId="12" borderId="0" xfId="0" applyFont="1" applyFill="1" applyAlignment="1">
      <alignment horizontal="center"/>
    </xf>
    <xf numFmtId="2" fontId="20" fillId="12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166" fontId="20" fillId="0" borderId="0" xfId="0" applyNumberFormat="1" applyFont="1" applyAlignment="1">
      <alignment horizontal="center"/>
    </xf>
    <xf numFmtId="0" fontId="20" fillId="8" borderId="0" xfId="0" applyFont="1" applyFill="1" applyAlignment="1">
      <alignment horizontal="center"/>
    </xf>
    <xf numFmtId="166" fontId="27" fillId="0" borderId="1" xfId="0" applyNumberFormat="1" applyFont="1" applyBorder="1" applyAlignment="1">
      <alignment horizontal="center"/>
    </xf>
    <xf numFmtId="164" fontId="28" fillId="12" borderId="1" xfId="0" applyNumberFormat="1" applyFont="1" applyFill="1" applyBorder="1" applyAlignment="1">
      <alignment horizontal="center"/>
    </xf>
    <xf numFmtId="4" fontId="28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center"/>
    </xf>
    <xf numFmtId="166" fontId="39" fillId="0" borderId="4" xfId="0" applyNumberFormat="1" applyFont="1" applyBorder="1" applyAlignment="1">
      <alignment horizontal="center"/>
    </xf>
    <xf numFmtId="0" fontId="41" fillId="0" borderId="0" xfId="0" applyFont="1"/>
    <xf numFmtId="0" fontId="42" fillId="0" borderId="0" xfId="2" applyFont="1"/>
    <xf numFmtId="0" fontId="20" fillId="16" borderId="2" xfId="0" applyFont="1" applyFill="1" applyBorder="1" applyAlignment="1">
      <alignment horizontal="center"/>
    </xf>
    <xf numFmtId="0" fontId="19" fillId="0" borderId="0" xfId="0" applyFont="1"/>
    <xf numFmtId="3" fontId="37" fillId="13" borderId="0" xfId="0" applyNumberFormat="1" applyFont="1" applyFill="1" applyAlignment="1">
      <alignment horizontal="center"/>
    </xf>
    <xf numFmtId="0" fontId="37" fillId="13" borderId="0" xfId="0" applyFont="1" applyFill="1" applyAlignment="1">
      <alignment horizontal="center"/>
    </xf>
    <xf numFmtId="0" fontId="37" fillId="12" borderId="0" xfId="0" applyFont="1" applyFill="1" applyAlignment="1">
      <alignment horizontal="center"/>
    </xf>
    <xf numFmtId="0" fontId="43" fillId="0" borderId="0" xfId="0" applyFont="1"/>
    <xf numFmtId="4" fontId="43" fillId="0" borderId="1" xfId="0" applyNumberFormat="1" applyFont="1" applyBorder="1" applyAlignment="1">
      <alignment horizontal="center"/>
    </xf>
    <xf numFmtId="0" fontId="28" fillId="18" borderId="2" xfId="0" applyFont="1" applyFill="1" applyBorder="1"/>
    <xf numFmtId="0" fontId="26" fillId="18" borderId="2" xfId="0" applyFont="1" applyFill="1" applyBorder="1"/>
    <xf numFmtId="166" fontId="20" fillId="13" borderId="5" xfId="0" applyNumberFormat="1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2" fontId="27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44" fillId="0" borderId="0" xfId="0" applyFont="1"/>
    <xf numFmtId="0" fontId="44" fillId="18" borderId="2" xfId="0" applyFont="1" applyFill="1" applyBorder="1"/>
    <xf numFmtId="0" fontId="45" fillId="0" borderId="0" xfId="0" applyFont="1"/>
    <xf numFmtId="0" fontId="44" fillId="0" borderId="0" xfId="0" applyFont="1" applyAlignment="1">
      <alignment horizontal="left"/>
    </xf>
    <xf numFmtId="0" fontId="46" fillId="0" borderId="0" xfId="2" applyFont="1"/>
    <xf numFmtId="4" fontId="37" fillId="12" borderId="0" xfId="0" applyNumberFormat="1" applyFont="1" applyFill="1" applyAlignment="1">
      <alignment horizontal="center"/>
    </xf>
    <xf numFmtId="2" fontId="20" fillId="8" borderId="0" xfId="0" applyNumberFormat="1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3" fontId="37" fillId="8" borderId="0" xfId="0" applyNumberFormat="1" applyFont="1" applyFill="1" applyAlignment="1">
      <alignment horizontal="center"/>
    </xf>
    <xf numFmtId="0" fontId="28" fillId="0" borderId="2" xfId="0" applyFont="1" applyBorder="1"/>
    <xf numFmtId="0" fontId="26" fillId="0" borderId="2" xfId="0" applyFont="1" applyBorder="1"/>
    <xf numFmtId="2" fontId="36" fillId="0" borderId="0" xfId="0" applyNumberFormat="1" applyFont="1" applyAlignment="1">
      <alignment horizontal="center"/>
    </xf>
    <xf numFmtId="0" fontId="20" fillId="13" borderId="0" xfId="0" applyFont="1" applyFill="1"/>
    <xf numFmtId="171" fontId="28" fillId="0" borderId="1" xfId="0" applyNumberFormat="1" applyFont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166" fontId="27" fillId="1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B778A52A-887D-43B0-8D07-BB4AF5838E5E}"/>
    <cellStyle name="Porcentaje" xfId="1" builtinId="5"/>
  </cellStyles>
  <dxfs count="58">
    <dxf>
      <numFmt numFmtId="168" formatCode="0.0"/>
    </dxf>
    <dxf>
      <numFmt numFmtId="4" formatCode="#,##0.00"/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9" formatCode="#,##0.0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fill>
        <patternFill patternType="solid">
          <fgColor indexed="64"/>
          <bgColor theme="8" tint="0.79998168889431442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alignment horizontal="left" vertical="bottom" textRotation="0" wrapText="0" indent="1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0.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6" formatCode="#,##0.00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68" formatCode="0.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#,##0.000"/>
    </dxf>
    <dxf>
      <numFmt numFmtId="3" formatCode="#,##0"/>
    </dxf>
    <dxf>
      <alignment horizontal="center"/>
    </dxf>
    <dxf>
      <alignment horizontal="center"/>
    </dxf>
    <dxf>
      <alignment horizontal="left"/>
    </dxf>
    <dxf>
      <alignment horizontal="left"/>
    </dxf>
    <dxf>
      <fill>
        <patternFill patternType="solid">
          <bgColor theme="5" tint="0.79998168889431442"/>
        </patternFill>
      </fill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4" formatCode="#,##0.00"/>
    </dxf>
  </dxfs>
  <tableStyles count="0" defaultTableStyle="TableStyleMedium9" defaultPivotStyle="PivotStyleLight16"/>
  <colors>
    <mruColors>
      <color rgb="FFFFFFCC"/>
      <color rgb="FF1F497D"/>
      <color rgb="FFF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93</xdr:row>
      <xdr:rowOff>38099</xdr:rowOff>
    </xdr:from>
    <xdr:to>
      <xdr:col>10</xdr:col>
      <xdr:colOff>224988</xdr:colOff>
      <xdr:row>120</xdr:row>
      <xdr:rowOff>134368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2A85CA-8401-4D9B-B21B-A6FEDD4B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0408919"/>
          <a:ext cx="9589968" cy="4477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60960</xdr:rowOff>
    </xdr:from>
    <xdr:to>
      <xdr:col>5</xdr:col>
      <xdr:colOff>743375</xdr:colOff>
      <xdr:row>169</xdr:row>
      <xdr:rowOff>129540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70CE4-6E2E-E533-F98A-D5B0A30D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25700"/>
          <a:ext cx="5890685" cy="7246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174066</xdr:colOff>
      <xdr:row>1</xdr:row>
      <xdr:rowOff>1</xdr:rowOff>
    </xdr:from>
    <xdr:to>
      <xdr:col>15</xdr:col>
      <xdr:colOff>782283</xdr:colOff>
      <xdr:row>38</xdr:row>
      <xdr:rowOff>53341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43D8E-AC2F-4E73-90A9-B0CA92CD8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866" y="182881"/>
          <a:ext cx="6155577" cy="68122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avier Vives" refreshedDate="46002.540022222223" createdVersion="8" refreshedVersion="8" minRefreshableVersion="3" recordCount="421" xr:uid="{93738502-AB53-4A93-9B02-2CF90079BB5E}">
  <cacheSource type="worksheet">
    <worksheetSource ref="A2:O423" sheet="BD Jumsa"/>
  </cacheSource>
  <cacheFields count="13">
    <cacheField name="Envase" numFmtId="0">
      <sharedItems count="3">
        <s v="Frascos"/>
        <s v="Tarros"/>
        <s v="Tubos" u="1"/>
      </sharedItems>
    </cacheField>
    <cacheField name="Tipo envase" numFmtId="0">
      <sharedItems count="4">
        <s v="Estándar"/>
        <s v="Frascos Agrafados"/>
        <s v="Elípticos (+85%)" u="1"/>
        <s v="Metálicos (+85%)" u="1"/>
      </sharedItems>
    </cacheField>
    <cacheField name="Capcidad (ml)" numFmtId="0">
      <sharedItems containsMixedTypes="1" containsNumber="1" containsInteger="1" minValue="15" maxValue="250" count="16">
        <s v="De 1 a 25"/>
        <s v="De 30 a 60"/>
        <s v="De 75  a 150"/>
        <s v="de 200 a 300"/>
        <s v="De 400 a 500"/>
        <s v="De 600 a 1000"/>
        <s v="De 75  a 100"/>
        <n v="250" u="1"/>
        <n v="200" u="1"/>
        <n v="150" u="1"/>
        <n v="125" u="1"/>
        <n v="100" u="1"/>
        <n v="75" u="1"/>
        <n v="50" u="1"/>
        <n v="30" u="1"/>
        <n v="15" u="1"/>
      </sharedItems>
    </cacheField>
    <cacheField name="Operación" numFmtId="0">
      <sharedItems count="10">
        <s v="Envasado"/>
        <s v="Envasado Rollon"/>
        <s v="Estuchado"/>
        <s v="Envasado + estuchado"/>
        <s v="Etiquetado cilíndrico plastico"/>
        <s v="Etiquetado cilíndrico vidrio"/>
        <s v="Etiquetado plano plástico"/>
        <s v="Etiquetado plano vidrio"/>
        <s v="Estuchado con interior"/>
        <s v="Estuchado sin interior"/>
      </sharedItems>
    </cacheField>
    <cacheField name="Escalado" numFmtId="0">
      <sharedItems containsBlank="1" count="10">
        <s v="500 unid."/>
        <s v="1000 unid."/>
        <s v="1500 a 2500 unid"/>
        <s v="2501 a 5000 unid."/>
        <s v="5001 a 15000 unid."/>
        <s v="15000+"/>
        <s v="5001 a 25000 unid."/>
        <s v="5001 a 10000 unid."/>
        <s v="Automático +10000"/>
        <m u="1"/>
      </sharedItems>
    </cacheField>
    <cacheField name="Cantidad" numFmtId="3">
      <sharedItems containsSemiMixedTypes="0" containsString="0" containsNumber="1" containsInteger="1" minValue="500" maxValue="25000"/>
    </cacheField>
    <cacheField name="Personas" numFmtId="0">
      <sharedItems containsSemiMixedTypes="0" containsString="0" containsNumber="1" minValue="1.5" maxValue="5.5"/>
    </cacheField>
    <cacheField name="Tiempo (h)" numFmtId="0">
      <sharedItems containsString="0" containsBlank="1" containsNumber="1" minValue="1" maxValue="3.5"/>
    </cacheField>
    <cacheField name="Piezas /hora" numFmtId="0">
      <sharedItems containsString="0" containsBlank="1" containsNumber="1" containsInteger="1" minValue="300" maxValue="1200"/>
    </cacheField>
    <cacheField name="Total horas" numFmtId="0">
      <sharedItems containsSemiMixedTypes="0" containsString="0" containsNumber="1" minValue="1.5" maxValue="264.70588235294116"/>
    </cacheField>
    <cacheField name="Coste operación" numFmtId="4">
      <sharedItems containsSemiMixedTypes="0" containsString="0" containsNumber="1" minValue="48.300000000000004" maxValue="8523.5294117647063"/>
    </cacheField>
    <cacheField name="Coste unidad" numFmtId="166">
      <sharedItems containsSemiMixedTypes="0" containsString="0" containsNumber="1" minValue="4.3909090909090918E-2" maxValue="0.88550000000000006"/>
    </cacheField>
    <cacheField name="Coste Millar" numFmtId="1">
      <sharedItems containsSemiMixedTypes="0" containsString="0" containsNumber="1" minValue="43.909090909090921" maxValue="885.5000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avier Vives" refreshedDate="46003.511804166665" createdVersion="8" refreshedVersion="8" minRefreshableVersion="3" recordCount="245" xr:uid="{436783F2-86F4-4AB2-A943-36719729DA93}">
  <cacheSource type="worksheet">
    <worksheetSource ref="B2:P423" sheet="BD Tubos"/>
  </cacheSource>
  <cacheFields count="13">
    <cacheField name="Envase" numFmtId="0">
      <sharedItems containsBlank="1"/>
    </cacheField>
    <cacheField name="Tipo envase" numFmtId="0">
      <sharedItems containsBlank="1" count="6">
        <s v="Estándar"/>
        <s v="Elípticos (+85%)"/>
        <s v="Metálicos (+85%)"/>
        <s v="Ovalado (+40%)"/>
        <m/>
        <s v="Olaldo (+40%)" u="1"/>
      </sharedItems>
    </cacheField>
    <cacheField name="Capcidad (ml)" numFmtId="0">
      <sharedItems containsString="0" containsBlank="1" containsNumber="1" containsInteger="1" minValue="15" maxValue="250" count="10">
        <n v="250"/>
        <n v="200"/>
        <n v="150"/>
        <n v="125"/>
        <n v="100"/>
        <n v="75"/>
        <n v="50"/>
        <n v="30"/>
        <n v="15"/>
        <m/>
      </sharedItems>
    </cacheField>
    <cacheField name="Operación" numFmtId="0">
      <sharedItems containsBlank="1" count="2">
        <s v="Envasado Tubos"/>
        <m/>
      </sharedItems>
    </cacheField>
    <cacheField name="Escalado" numFmtId="0">
      <sharedItems containsNonDate="0" containsString="0" containsBlank="1" count="1">
        <m/>
      </sharedItems>
    </cacheField>
    <cacheField name="Cantidad" numFmtId="0">
      <sharedItems containsString="0" containsBlank="1" containsNumber="1" containsInteger="1" minValue="1000" maxValue="100000" count="10">
        <n v="3000"/>
        <n v="1000"/>
        <n v="2000"/>
        <n v="2500"/>
        <n v="5000"/>
        <n v="10000"/>
        <n v="20000"/>
        <n v="50000"/>
        <n v="100000"/>
        <m/>
      </sharedItems>
    </cacheField>
    <cacheField name="Personas" numFmtId="0">
      <sharedItems containsNonDate="0" containsString="0" containsBlank="1"/>
    </cacheField>
    <cacheField name="Tiempo (h)" numFmtId="0">
      <sharedItems containsNonDate="0" containsString="0" containsBlank="1"/>
    </cacheField>
    <cacheField name="Piezas /hora" numFmtId="0">
      <sharedItems containsNonDate="0" containsString="0" containsBlank="1"/>
    </cacheField>
    <cacheField name="Total horas" numFmtId="0">
      <sharedItems containsNonDate="0" containsString="0" containsBlank="1"/>
    </cacheField>
    <cacheField name="Coste operación" numFmtId="0">
      <sharedItems containsNonDate="0" containsString="0" containsBlank="1"/>
    </cacheField>
    <cacheField name="Coste unidad" numFmtId="166">
      <sharedItems containsString="0" containsBlank="1" containsNumber="1" minValue="7.5999999999999998E-2" maxValue="0.69374999999999998"/>
    </cacheField>
    <cacheField name="Coste Millar" numFmtId="0">
      <sharedItems containsString="0" containsBlank="1" containsNumber="1" minValue="76" maxValue="693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x v="0"/>
    <x v="0"/>
    <x v="0"/>
    <x v="0"/>
    <x v="0"/>
    <n v="500"/>
    <n v="3.5"/>
    <n v="2.5"/>
    <m/>
    <n v="8.75"/>
    <n v="281.75"/>
    <n v="0.5635"/>
    <n v="563.5"/>
  </r>
  <r>
    <x v="0"/>
    <x v="0"/>
    <x v="0"/>
    <x v="0"/>
    <x v="1"/>
    <n v="1500"/>
    <n v="3.5"/>
    <n v="3"/>
    <m/>
    <n v="10.5"/>
    <n v="338.1"/>
    <n v="0.22540000000000002"/>
    <n v="225.4"/>
  </r>
  <r>
    <x v="0"/>
    <x v="0"/>
    <x v="0"/>
    <x v="0"/>
    <x v="2"/>
    <n v="2500"/>
    <n v="3.5"/>
    <m/>
    <n v="600"/>
    <n v="14.583333333333334"/>
    <n v="469.58333333333337"/>
    <n v="0.18783333333333335"/>
    <n v="187.83333333333334"/>
  </r>
  <r>
    <x v="0"/>
    <x v="0"/>
    <x v="0"/>
    <x v="0"/>
    <x v="3"/>
    <n v="5000"/>
    <n v="3.5"/>
    <m/>
    <n v="700"/>
    <n v="25"/>
    <n v="805.00000000000011"/>
    <n v="0.16100000000000003"/>
    <n v="161.00000000000003"/>
  </r>
  <r>
    <x v="0"/>
    <x v="0"/>
    <x v="0"/>
    <x v="0"/>
    <x v="4"/>
    <n v="15000"/>
    <n v="3.5"/>
    <m/>
    <n v="800"/>
    <n v="65.625"/>
    <n v="2113.125"/>
    <n v="0.140875"/>
    <n v="140.875"/>
  </r>
  <r>
    <x v="0"/>
    <x v="0"/>
    <x v="0"/>
    <x v="0"/>
    <x v="5"/>
    <n v="15000"/>
    <n v="4.5"/>
    <m/>
    <n v="1200"/>
    <n v="56.25"/>
    <n v="1811.2500000000002"/>
    <n v="0.12075000000000001"/>
    <n v="120.75000000000001"/>
  </r>
  <r>
    <x v="0"/>
    <x v="0"/>
    <x v="0"/>
    <x v="1"/>
    <x v="0"/>
    <n v="500"/>
    <n v="4.5"/>
    <n v="2.5"/>
    <m/>
    <n v="11.25"/>
    <n v="362.25000000000006"/>
    <n v="0.72450000000000014"/>
    <n v="724.50000000000011"/>
  </r>
  <r>
    <x v="0"/>
    <x v="0"/>
    <x v="0"/>
    <x v="1"/>
    <x v="1"/>
    <n v="1500"/>
    <n v="4.5"/>
    <n v="3"/>
    <m/>
    <n v="13.5"/>
    <n v="434.70000000000005"/>
    <n v="0.28980000000000006"/>
    <n v="289.80000000000007"/>
  </r>
  <r>
    <x v="0"/>
    <x v="0"/>
    <x v="0"/>
    <x v="1"/>
    <x v="2"/>
    <n v="2500"/>
    <n v="4.5"/>
    <m/>
    <n v="600"/>
    <n v="18.75"/>
    <n v="603.75"/>
    <n v="0.24149999999999999"/>
    <n v="241.5"/>
  </r>
  <r>
    <x v="0"/>
    <x v="0"/>
    <x v="0"/>
    <x v="1"/>
    <x v="3"/>
    <n v="5000"/>
    <n v="4.5"/>
    <m/>
    <n v="700"/>
    <n v="32.142857142857146"/>
    <n v="1035.0000000000002"/>
    <n v="0.20700000000000005"/>
    <n v="207.00000000000006"/>
  </r>
  <r>
    <x v="0"/>
    <x v="0"/>
    <x v="0"/>
    <x v="1"/>
    <x v="4"/>
    <n v="15000"/>
    <n v="4.5"/>
    <m/>
    <n v="800"/>
    <n v="84.375"/>
    <n v="2716.8750000000005"/>
    <n v="0.18112500000000004"/>
    <n v="181.12500000000003"/>
  </r>
  <r>
    <x v="0"/>
    <x v="0"/>
    <x v="0"/>
    <x v="1"/>
    <x v="5"/>
    <n v="15000"/>
    <n v="5.5"/>
    <m/>
    <n v="1200"/>
    <n v="68.75"/>
    <n v="2213.75"/>
    <n v="0.14758333333333334"/>
    <n v="147.58333333333334"/>
  </r>
  <r>
    <x v="0"/>
    <x v="0"/>
    <x v="0"/>
    <x v="2"/>
    <x v="0"/>
    <n v="500"/>
    <n v="3.5"/>
    <n v="1"/>
    <m/>
    <n v="3.5"/>
    <n v="112.70000000000002"/>
    <n v="0.22540000000000004"/>
    <n v="225.40000000000003"/>
  </r>
  <r>
    <x v="0"/>
    <x v="0"/>
    <x v="0"/>
    <x v="2"/>
    <x v="1"/>
    <n v="1000"/>
    <n v="3.5"/>
    <n v="1.5"/>
    <m/>
    <n v="5.25"/>
    <n v="169.05"/>
    <n v="0.16905000000000001"/>
    <n v="169.05"/>
  </r>
  <r>
    <x v="0"/>
    <x v="0"/>
    <x v="0"/>
    <x v="2"/>
    <x v="2"/>
    <n v="2500"/>
    <n v="3.5"/>
    <m/>
    <n v="700"/>
    <n v="12.5"/>
    <n v="402.50000000000006"/>
    <n v="0.16100000000000003"/>
    <n v="161.00000000000003"/>
  </r>
  <r>
    <x v="0"/>
    <x v="0"/>
    <x v="0"/>
    <x v="2"/>
    <x v="3"/>
    <n v="5000"/>
    <n v="3.5"/>
    <m/>
    <n v="750"/>
    <n v="23.333333333333336"/>
    <n v="751.33333333333348"/>
    <n v="0.15026666666666669"/>
    <n v="150.26666666666668"/>
  </r>
  <r>
    <x v="0"/>
    <x v="0"/>
    <x v="0"/>
    <x v="2"/>
    <x v="4"/>
    <n v="15000"/>
    <n v="3.5"/>
    <m/>
    <n v="850"/>
    <n v="61.764705882352942"/>
    <n v="1988.8235294117649"/>
    <n v="0.13258823529411765"/>
    <n v="132.58823529411765"/>
  </r>
  <r>
    <x v="0"/>
    <x v="0"/>
    <x v="0"/>
    <x v="3"/>
    <x v="0"/>
    <n v="500"/>
    <n v="4.5"/>
    <n v="2.5"/>
    <m/>
    <n v="11.25"/>
    <n v="362.25000000000006"/>
    <n v="0.72450000000000014"/>
    <n v="724.50000000000011"/>
  </r>
  <r>
    <x v="0"/>
    <x v="0"/>
    <x v="0"/>
    <x v="3"/>
    <x v="1"/>
    <n v="1000"/>
    <n v="4.5"/>
    <n v="3"/>
    <m/>
    <n v="13.5"/>
    <n v="434.70000000000005"/>
    <n v="0.43470000000000003"/>
    <n v="434.70000000000005"/>
  </r>
  <r>
    <x v="0"/>
    <x v="0"/>
    <x v="0"/>
    <x v="3"/>
    <x v="2"/>
    <n v="2500"/>
    <n v="4.5"/>
    <m/>
    <n v="600"/>
    <n v="18.75"/>
    <n v="603.75"/>
    <n v="0.24149999999999999"/>
    <n v="241.5"/>
  </r>
  <r>
    <x v="0"/>
    <x v="0"/>
    <x v="0"/>
    <x v="3"/>
    <x v="3"/>
    <n v="5000"/>
    <n v="4.5"/>
    <m/>
    <n v="700"/>
    <n v="32.142857142857146"/>
    <n v="1035.0000000000002"/>
    <n v="0.20700000000000005"/>
    <n v="207.00000000000006"/>
  </r>
  <r>
    <x v="0"/>
    <x v="0"/>
    <x v="0"/>
    <x v="3"/>
    <x v="4"/>
    <n v="15000"/>
    <n v="4.5"/>
    <m/>
    <n v="800"/>
    <n v="84.375"/>
    <n v="2716.8750000000005"/>
    <n v="0.18112500000000004"/>
    <n v="181.12500000000003"/>
  </r>
  <r>
    <x v="0"/>
    <x v="0"/>
    <x v="0"/>
    <x v="4"/>
    <x v="0"/>
    <n v="500"/>
    <n v="1.5"/>
    <n v="1"/>
    <m/>
    <n v="1.5"/>
    <n v="48.300000000000004"/>
    <n v="9.6600000000000005E-2"/>
    <n v="96.600000000000009"/>
  </r>
  <r>
    <x v="0"/>
    <x v="0"/>
    <x v="0"/>
    <x v="4"/>
    <x v="1"/>
    <n v="1000"/>
    <n v="1.5"/>
    <n v="1.5"/>
    <m/>
    <n v="2.25"/>
    <n v="72.45"/>
    <n v="7.2450000000000001E-2"/>
    <n v="72.45"/>
  </r>
  <r>
    <x v="0"/>
    <x v="0"/>
    <x v="0"/>
    <x v="4"/>
    <x v="2"/>
    <n v="2500"/>
    <n v="1.5"/>
    <m/>
    <n v="800"/>
    <n v="4.6875"/>
    <n v="150.9375"/>
    <n v="6.0374999999999998E-2"/>
    <n v="60.375"/>
  </r>
  <r>
    <x v="0"/>
    <x v="0"/>
    <x v="0"/>
    <x v="4"/>
    <x v="3"/>
    <n v="5000"/>
    <n v="1.5"/>
    <m/>
    <n v="900"/>
    <n v="8.3333333333333321"/>
    <n v="268.33333333333331"/>
    <n v="5.3666666666666661E-2"/>
    <n v="53.666666666666664"/>
  </r>
  <r>
    <x v="0"/>
    <x v="0"/>
    <x v="0"/>
    <x v="4"/>
    <x v="6"/>
    <n v="25000"/>
    <n v="1.5"/>
    <m/>
    <n v="1100"/>
    <n v="34.090909090909093"/>
    <n v="1097.727272727273"/>
    <n v="4.3909090909090918E-2"/>
    <n v="43.909090909090921"/>
  </r>
  <r>
    <x v="0"/>
    <x v="0"/>
    <x v="0"/>
    <x v="5"/>
    <x v="0"/>
    <n v="500"/>
    <n v="2.5"/>
    <n v="1"/>
    <m/>
    <n v="2.5"/>
    <n v="80.5"/>
    <n v="0.161"/>
    <n v="161"/>
  </r>
  <r>
    <x v="0"/>
    <x v="0"/>
    <x v="0"/>
    <x v="5"/>
    <x v="1"/>
    <n v="1000"/>
    <n v="2.5"/>
    <n v="1.5"/>
    <m/>
    <n v="3.75"/>
    <n v="120.75000000000001"/>
    <n v="0.12075000000000001"/>
    <n v="120.75000000000001"/>
  </r>
  <r>
    <x v="0"/>
    <x v="0"/>
    <x v="0"/>
    <x v="5"/>
    <x v="2"/>
    <n v="2500"/>
    <n v="2.5"/>
    <m/>
    <n v="800"/>
    <n v="7.8125"/>
    <n v="251.56250000000003"/>
    <n v="0.10062500000000001"/>
    <n v="100.625"/>
  </r>
  <r>
    <x v="0"/>
    <x v="0"/>
    <x v="0"/>
    <x v="5"/>
    <x v="3"/>
    <n v="5000"/>
    <n v="2.5"/>
    <m/>
    <n v="900"/>
    <n v="13.888888888888889"/>
    <n v="447.22222222222229"/>
    <n v="8.9444444444444451E-2"/>
    <n v="89.444444444444457"/>
  </r>
  <r>
    <x v="0"/>
    <x v="0"/>
    <x v="0"/>
    <x v="5"/>
    <x v="6"/>
    <n v="25000"/>
    <n v="2.5"/>
    <m/>
    <n v="1100"/>
    <n v="56.818181818181813"/>
    <n v="1829.5454545454545"/>
    <n v="7.3181818181818181E-2"/>
    <n v="73.181818181818187"/>
  </r>
  <r>
    <x v="0"/>
    <x v="0"/>
    <x v="0"/>
    <x v="6"/>
    <x v="0"/>
    <n v="500"/>
    <n v="1.5"/>
    <n v="1.5"/>
    <m/>
    <n v="2.25"/>
    <n v="72.45"/>
    <n v="0.1449"/>
    <n v="144.9"/>
  </r>
  <r>
    <x v="0"/>
    <x v="0"/>
    <x v="0"/>
    <x v="6"/>
    <x v="1"/>
    <n v="1000"/>
    <n v="1.5"/>
    <n v="2"/>
    <m/>
    <n v="3"/>
    <n v="96.600000000000009"/>
    <n v="9.6600000000000005E-2"/>
    <n v="96.600000000000009"/>
  </r>
  <r>
    <x v="0"/>
    <x v="0"/>
    <x v="0"/>
    <x v="6"/>
    <x v="2"/>
    <n v="2500"/>
    <n v="1.5"/>
    <m/>
    <n v="600"/>
    <n v="6.25"/>
    <n v="201.25000000000003"/>
    <n v="8.0500000000000016E-2"/>
    <n v="80.500000000000014"/>
  </r>
  <r>
    <x v="0"/>
    <x v="0"/>
    <x v="0"/>
    <x v="6"/>
    <x v="3"/>
    <n v="5000"/>
    <n v="1.5"/>
    <m/>
    <n v="700"/>
    <n v="10.714285714285715"/>
    <n v="345.00000000000006"/>
    <n v="6.9000000000000006E-2"/>
    <n v="69"/>
  </r>
  <r>
    <x v="0"/>
    <x v="0"/>
    <x v="0"/>
    <x v="6"/>
    <x v="6"/>
    <n v="25000"/>
    <n v="1.5"/>
    <m/>
    <n v="1000"/>
    <n v="37.5"/>
    <n v="1207.5"/>
    <n v="4.8300000000000003E-2"/>
    <n v="48.300000000000004"/>
  </r>
  <r>
    <x v="0"/>
    <x v="0"/>
    <x v="0"/>
    <x v="7"/>
    <x v="0"/>
    <n v="500"/>
    <n v="2.5"/>
    <n v="1.5"/>
    <m/>
    <n v="3.75"/>
    <n v="120.75000000000001"/>
    <n v="0.24150000000000002"/>
    <n v="241.50000000000003"/>
  </r>
  <r>
    <x v="0"/>
    <x v="0"/>
    <x v="0"/>
    <x v="7"/>
    <x v="1"/>
    <n v="1000"/>
    <n v="2.5"/>
    <n v="2"/>
    <m/>
    <n v="5"/>
    <n v="161"/>
    <n v="0.161"/>
    <n v="161"/>
  </r>
  <r>
    <x v="0"/>
    <x v="0"/>
    <x v="0"/>
    <x v="7"/>
    <x v="2"/>
    <n v="2500"/>
    <n v="2.5"/>
    <m/>
    <n v="600"/>
    <n v="10.416666666666668"/>
    <n v="335.41666666666674"/>
    <n v="0.13416666666666668"/>
    <n v="134.16666666666669"/>
  </r>
  <r>
    <x v="0"/>
    <x v="0"/>
    <x v="0"/>
    <x v="7"/>
    <x v="3"/>
    <n v="5000"/>
    <n v="2.5"/>
    <m/>
    <n v="700"/>
    <n v="17.857142857142858"/>
    <n v="575.00000000000011"/>
    <n v="0.11500000000000002"/>
    <n v="115.00000000000001"/>
  </r>
  <r>
    <x v="0"/>
    <x v="0"/>
    <x v="0"/>
    <x v="7"/>
    <x v="6"/>
    <n v="25000"/>
    <n v="2.5"/>
    <m/>
    <n v="1000"/>
    <n v="62.5"/>
    <n v="2012.5000000000002"/>
    <n v="8.0500000000000016E-2"/>
    <n v="80.500000000000014"/>
  </r>
  <r>
    <x v="0"/>
    <x v="0"/>
    <x v="1"/>
    <x v="0"/>
    <x v="0"/>
    <n v="500"/>
    <n v="3.5"/>
    <n v="2.5"/>
    <m/>
    <n v="8.75"/>
    <n v="281.75"/>
    <n v="0.5635"/>
    <n v="563.5"/>
  </r>
  <r>
    <x v="0"/>
    <x v="0"/>
    <x v="1"/>
    <x v="0"/>
    <x v="1"/>
    <n v="1000"/>
    <n v="3.5"/>
    <n v="3"/>
    <m/>
    <n v="10.5"/>
    <n v="338.1"/>
    <n v="0.33810000000000001"/>
    <n v="338.1"/>
  </r>
  <r>
    <x v="0"/>
    <x v="0"/>
    <x v="1"/>
    <x v="0"/>
    <x v="2"/>
    <n v="1500"/>
    <n v="3.5"/>
    <m/>
    <n v="500"/>
    <n v="10.5"/>
    <n v="338.1"/>
    <n v="0.22540000000000002"/>
    <n v="225.4"/>
  </r>
  <r>
    <x v="0"/>
    <x v="0"/>
    <x v="1"/>
    <x v="0"/>
    <x v="3"/>
    <n v="3000"/>
    <n v="3.5"/>
    <m/>
    <n v="600"/>
    <n v="17.5"/>
    <n v="563.5"/>
    <n v="0.18783333333333332"/>
    <n v="187.83333333333331"/>
  </r>
  <r>
    <x v="0"/>
    <x v="0"/>
    <x v="1"/>
    <x v="0"/>
    <x v="4"/>
    <n v="15000"/>
    <n v="3.5"/>
    <m/>
    <n v="700"/>
    <n v="75"/>
    <n v="2415"/>
    <n v="0.161"/>
    <n v="161"/>
  </r>
  <r>
    <x v="0"/>
    <x v="0"/>
    <x v="1"/>
    <x v="2"/>
    <x v="0"/>
    <n v="500"/>
    <n v="3.5"/>
    <n v="1"/>
    <m/>
    <n v="3.5"/>
    <n v="112.70000000000002"/>
    <n v="0.22540000000000004"/>
    <n v="225.40000000000003"/>
  </r>
  <r>
    <x v="0"/>
    <x v="0"/>
    <x v="1"/>
    <x v="2"/>
    <x v="1"/>
    <n v="1000"/>
    <n v="3.5"/>
    <n v="1.5"/>
    <m/>
    <n v="5.25"/>
    <n v="169.05"/>
    <n v="0.16905000000000001"/>
    <n v="169.05"/>
  </r>
  <r>
    <x v="0"/>
    <x v="0"/>
    <x v="1"/>
    <x v="2"/>
    <x v="2"/>
    <n v="2500"/>
    <n v="3.5"/>
    <m/>
    <n v="700"/>
    <n v="12.5"/>
    <n v="402.50000000000006"/>
    <n v="0.16100000000000003"/>
    <n v="161.00000000000003"/>
  </r>
  <r>
    <x v="0"/>
    <x v="0"/>
    <x v="1"/>
    <x v="2"/>
    <x v="3"/>
    <n v="5000"/>
    <n v="3.5"/>
    <m/>
    <n v="750"/>
    <n v="23.333333333333336"/>
    <n v="751.33333333333348"/>
    <n v="0.15026666666666669"/>
    <n v="150.26666666666668"/>
  </r>
  <r>
    <x v="0"/>
    <x v="0"/>
    <x v="1"/>
    <x v="2"/>
    <x v="4"/>
    <n v="25000"/>
    <n v="3.5"/>
    <m/>
    <n v="850"/>
    <n v="102.94117647058823"/>
    <n v="3314.7058823529414"/>
    <n v="0.13258823529411765"/>
    <n v="132.58823529411765"/>
  </r>
  <r>
    <x v="0"/>
    <x v="0"/>
    <x v="1"/>
    <x v="3"/>
    <x v="0"/>
    <n v="500"/>
    <n v="4.5"/>
    <n v="2.5"/>
    <m/>
    <n v="11.25"/>
    <n v="362.25000000000006"/>
    <n v="0.72450000000000014"/>
    <n v="724.50000000000011"/>
  </r>
  <r>
    <x v="0"/>
    <x v="0"/>
    <x v="1"/>
    <x v="3"/>
    <x v="1"/>
    <n v="1000"/>
    <n v="4.5"/>
    <n v="3"/>
    <m/>
    <n v="13.5"/>
    <n v="434.70000000000005"/>
    <n v="0.43470000000000003"/>
    <n v="434.70000000000005"/>
  </r>
  <r>
    <x v="0"/>
    <x v="0"/>
    <x v="1"/>
    <x v="3"/>
    <x v="2"/>
    <n v="2500"/>
    <n v="4.5"/>
    <m/>
    <n v="500"/>
    <n v="22.5"/>
    <n v="724.50000000000011"/>
    <n v="0.28980000000000006"/>
    <n v="289.80000000000007"/>
  </r>
  <r>
    <x v="0"/>
    <x v="0"/>
    <x v="1"/>
    <x v="3"/>
    <x v="3"/>
    <n v="5000"/>
    <n v="4.5"/>
    <m/>
    <n v="600"/>
    <n v="37.5"/>
    <n v="1207.5"/>
    <n v="0.24149999999999999"/>
    <n v="241.5"/>
  </r>
  <r>
    <x v="0"/>
    <x v="0"/>
    <x v="1"/>
    <x v="3"/>
    <x v="4"/>
    <n v="25000"/>
    <n v="4.5"/>
    <m/>
    <n v="700"/>
    <n v="160.71428571428572"/>
    <n v="5175.0000000000009"/>
    <n v="0.20700000000000005"/>
    <n v="207.00000000000006"/>
  </r>
  <r>
    <x v="0"/>
    <x v="0"/>
    <x v="1"/>
    <x v="4"/>
    <x v="0"/>
    <n v="500"/>
    <n v="1.5"/>
    <n v="1"/>
    <m/>
    <n v="1.5"/>
    <n v="48.300000000000004"/>
    <n v="9.6600000000000005E-2"/>
    <n v="96.600000000000009"/>
  </r>
  <r>
    <x v="0"/>
    <x v="0"/>
    <x v="1"/>
    <x v="4"/>
    <x v="1"/>
    <n v="1000"/>
    <n v="1.5"/>
    <n v="1.5"/>
    <m/>
    <n v="2.25"/>
    <n v="72.45"/>
    <n v="7.2450000000000001E-2"/>
    <n v="72.45"/>
  </r>
  <r>
    <x v="0"/>
    <x v="0"/>
    <x v="1"/>
    <x v="4"/>
    <x v="2"/>
    <n v="2500"/>
    <n v="1.5"/>
    <m/>
    <n v="800"/>
    <n v="4.6875"/>
    <n v="150.9375"/>
    <n v="6.0374999999999998E-2"/>
    <n v="60.375"/>
  </r>
  <r>
    <x v="0"/>
    <x v="0"/>
    <x v="1"/>
    <x v="4"/>
    <x v="3"/>
    <n v="5000"/>
    <n v="1.5"/>
    <m/>
    <n v="900"/>
    <n v="8.3333333333333321"/>
    <n v="268.33333333333331"/>
    <n v="5.3666666666666661E-2"/>
    <n v="53.666666666666664"/>
  </r>
  <r>
    <x v="0"/>
    <x v="0"/>
    <x v="1"/>
    <x v="4"/>
    <x v="6"/>
    <n v="25000"/>
    <n v="1.5"/>
    <m/>
    <n v="1100"/>
    <n v="34.090909090909093"/>
    <n v="1097.727272727273"/>
    <n v="4.3909090909090918E-2"/>
    <n v="43.909090909090921"/>
  </r>
  <r>
    <x v="0"/>
    <x v="0"/>
    <x v="1"/>
    <x v="5"/>
    <x v="0"/>
    <n v="500"/>
    <n v="2.5"/>
    <n v="1"/>
    <m/>
    <n v="2.5"/>
    <n v="80.5"/>
    <n v="0.161"/>
    <n v="161"/>
  </r>
  <r>
    <x v="0"/>
    <x v="0"/>
    <x v="1"/>
    <x v="5"/>
    <x v="1"/>
    <n v="1000"/>
    <n v="2.5"/>
    <n v="1.5"/>
    <m/>
    <n v="3.75"/>
    <n v="120.75000000000001"/>
    <n v="0.12075000000000001"/>
    <n v="120.75000000000001"/>
  </r>
  <r>
    <x v="0"/>
    <x v="0"/>
    <x v="1"/>
    <x v="5"/>
    <x v="2"/>
    <n v="2500"/>
    <n v="2.5"/>
    <m/>
    <n v="800"/>
    <n v="7.8125"/>
    <n v="251.56250000000003"/>
    <n v="0.10062500000000001"/>
    <n v="100.625"/>
  </r>
  <r>
    <x v="0"/>
    <x v="0"/>
    <x v="1"/>
    <x v="5"/>
    <x v="3"/>
    <n v="5000"/>
    <n v="2.5"/>
    <m/>
    <n v="900"/>
    <n v="13.888888888888889"/>
    <n v="447.22222222222229"/>
    <n v="8.9444444444444451E-2"/>
    <n v="89.444444444444457"/>
  </r>
  <r>
    <x v="0"/>
    <x v="0"/>
    <x v="1"/>
    <x v="5"/>
    <x v="6"/>
    <n v="25000"/>
    <n v="2.5"/>
    <m/>
    <n v="1100"/>
    <n v="56.818181818181813"/>
    <n v="1829.5454545454545"/>
    <n v="7.3181818181818181E-2"/>
    <n v="73.181818181818187"/>
  </r>
  <r>
    <x v="0"/>
    <x v="0"/>
    <x v="1"/>
    <x v="6"/>
    <x v="0"/>
    <n v="500"/>
    <n v="1.5"/>
    <n v="1.5"/>
    <m/>
    <n v="2.25"/>
    <n v="72.45"/>
    <n v="0.1449"/>
    <n v="144.9"/>
  </r>
  <r>
    <x v="0"/>
    <x v="0"/>
    <x v="1"/>
    <x v="6"/>
    <x v="1"/>
    <n v="1000"/>
    <n v="1.5"/>
    <n v="2"/>
    <m/>
    <n v="3"/>
    <n v="96.600000000000009"/>
    <n v="9.6600000000000005E-2"/>
    <n v="96.600000000000009"/>
  </r>
  <r>
    <x v="0"/>
    <x v="0"/>
    <x v="1"/>
    <x v="6"/>
    <x v="2"/>
    <n v="2500"/>
    <n v="1.5"/>
    <m/>
    <n v="600"/>
    <n v="6.25"/>
    <n v="201.25000000000003"/>
    <n v="8.0500000000000016E-2"/>
    <n v="80.500000000000014"/>
  </r>
  <r>
    <x v="0"/>
    <x v="0"/>
    <x v="1"/>
    <x v="6"/>
    <x v="3"/>
    <n v="5000"/>
    <n v="1.5"/>
    <m/>
    <n v="700"/>
    <n v="10.714285714285715"/>
    <n v="345.00000000000006"/>
    <n v="6.9000000000000006E-2"/>
    <n v="69"/>
  </r>
  <r>
    <x v="0"/>
    <x v="0"/>
    <x v="1"/>
    <x v="6"/>
    <x v="6"/>
    <n v="25000"/>
    <n v="1.5"/>
    <m/>
    <n v="1000"/>
    <n v="37.5"/>
    <n v="1207.5"/>
    <n v="4.8300000000000003E-2"/>
    <n v="48.300000000000004"/>
  </r>
  <r>
    <x v="0"/>
    <x v="0"/>
    <x v="1"/>
    <x v="7"/>
    <x v="0"/>
    <n v="500"/>
    <n v="2.5"/>
    <n v="1.5"/>
    <m/>
    <n v="3.75"/>
    <n v="120.75000000000001"/>
    <n v="0.24150000000000002"/>
    <n v="241.50000000000003"/>
  </r>
  <r>
    <x v="0"/>
    <x v="0"/>
    <x v="1"/>
    <x v="7"/>
    <x v="1"/>
    <n v="1000"/>
    <n v="2.5"/>
    <n v="2"/>
    <m/>
    <n v="5"/>
    <n v="161"/>
    <n v="0.161"/>
    <n v="161"/>
  </r>
  <r>
    <x v="0"/>
    <x v="0"/>
    <x v="1"/>
    <x v="7"/>
    <x v="2"/>
    <n v="2500"/>
    <n v="2.5"/>
    <m/>
    <n v="600"/>
    <n v="10.416666666666668"/>
    <n v="335.41666666666674"/>
    <n v="0.13416666666666668"/>
    <n v="134.16666666666669"/>
  </r>
  <r>
    <x v="0"/>
    <x v="0"/>
    <x v="1"/>
    <x v="7"/>
    <x v="3"/>
    <n v="5000"/>
    <n v="2.5"/>
    <m/>
    <n v="700"/>
    <n v="17.857142857142858"/>
    <n v="575.00000000000011"/>
    <n v="0.11500000000000002"/>
    <n v="115.00000000000001"/>
  </r>
  <r>
    <x v="0"/>
    <x v="0"/>
    <x v="1"/>
    <x v="7"/>
    <x v="6"/>
    <n v="25000"/>
    <n v="2.5"/>
    <m/>
    <n v="1000"/>
    <n v="62.5"/>
    <n v="2012.5000000000002"/>
    <n v="8.0500000000000016E-2"/>
    <n v="80.500000000000014"/>
  </r>
  <r>
    <x v="0"/>
    <x v="0"/>
    <x v="2"/>
    <x v="0"/>
    <x v="0"/>
    <n v="500"/>
    <n v="3.5"/>
    <n v="2.5"/>
    <m/>
    <n v="8.75"/>
    <n v="281.75"/>
    <n v="0.5635"/>
    <n v="563.5"/>
  </r>
  <r>
    <x v="0"/>
    <x v="0"/>
    <x v="2"/>
    <x v="0"/>
    <x v="1"/>
    <n v="1000"/>
    <n v="3.5"/>
    <n v="3"/>
    <m/>
    <n v="10.5"/>
    <n v="338.1"/>
    <n v="0.33810000000000001"/>
    <n v="338.1"/>
  </r>
  <r>
    <x v="0"/>
    <x v="0"/>
    <x v="2"/>
    <x v="0"/>
    <x v="2"/>
    <n v="2500"/>
    <n v="3.5"/>
    <m/>
    <n v="450"/>
    <n v="19.444444444444443"/>
    <n v="626.11111111111109"/>
    <n v="0.25044444444444441"/>
    <n v="250.4444444444444"/>
  </r>
  <r>
    <x v="0"/>
    <x v="0"/>
    <x v="2"/>
    <x v="0"/>
    <x v="3"/>
    <n v="5000"/>
    <n v="3.5"/>
    <m/>
    <n v="550"/>
    <n v="31.81818181818182"/>
    <n v="1024.5454545454547"/>
    <n v="0.20490909090909096"/>
    <n v="204.90909090909096"/>
  </r>
  <r>
    <x v="0"/>
    <x v="0"/>
    <x v="2"/>
    <x v="0"/>
    <x v="6"/>
    <n v="25000"/>
    <n v="3.5"/>
    <m/>
    <n v="650"/>
    <n v="134.61538461538461"/>
    <n v="4334.6153846153848"/>
    <n v="0.17338461538461539"/>
    <n v="173.38461538461539"/>
  </r>
  <r>
    <x v="0"/>
    <x v="0"/>
    <x v="2"/>
    <x v="2"/>
    <x v="0"/>
    <n v="500"/>
    <n v="3.5"/>
    <n v="1"/>
    <m/>
    <n v="3.5"/>
    <n v="112.70000000000002"/>
    <n v="0.22540000000000004"/>
    <n v="225.40000000000003"/>
  </r>
  <r>
    <x v="0"/>
    <x v="0"/>
    <x v="2"/>
    <x v="2"/>
    <x v="1"/>
    <n v="1000"/>
    <n v="3.5"/>
    <n v="1.5"/>
    <m/>
    <n v="5.25"/>
    <n v="169.05"/>
    <n v="0.16905000000000001"/>
    <n v="169.05"/>
  </r>
  <r>
    <x v="0"/>
    <x v="0"/>
    <x v="2"/>
    <x v="2"/>
    <x v="2"/>
    <n v="2500"/>
    <n v="3.5"/>
    <m/>
    <n v="675"/>
    <n v="12.962962962962964"/>
    <n v="417.40740740740745"/>
    <n v="0.16696296296296298"/>
    <n v="166.96296296296299"/>
  </r>
  <r>
    <x v="0"/>
    <x v="0"/>
    <x v="2"/>
    <x v="2"/>
    <x v="3"/>
    <n v="5000"/>
    <n v="3.5"/>
    <m/>
    <n v="725"/>
    <n v="24.137931034482758"/>
    <n v="777.24137931034488"/>
    <n v="0.15544827586206897"/>
    <n v="155.44827586206898"/>
  </r>
  <r>
    <x v="0"/>
    <x v="0"/>
    <x v="2"/>
    <x v="2"/>
    <x v="4"/>
    <n v="15000"/>
    <n v="3.5"/>
    <m/>
    <n v="775"/>
    <n v="67.741935483870975"/>
    <n v="2181.2903225806458"/>
    <n v="0.14541935483870971"/>
    <n v="145.41935483870972"/>
  </r>
  <r>
    <x v="0"/>
    <x v="0"/>
    <x v="2"/>
    <x v="3"/>
    <x v="0"/>
    <n v="500"/>
    <n v="4.5"/>
    <n v="2.5"/>
    <m/>
    <n v="11.25"/>
    <n v="362.25000000000006"/>
    <n v="0.72450000000000014"/>
    <n v="724.50000000000011"/>
  </r>
  <r>
    <x v="0"/>
    <x v="0"/>
    <x v="2"/>
    <x v="3"/>
    <x v="1"/>
    <n v="1000"/>
    <n v="4.5"/>
    <n v="3"/>
    <m/>
    <n v="13.5"/>
    <n v="434.70000000000005"/>
    <n v="0.43470000000000003"/>
    <n v="434.70000000000005"/>
  </r>
  <r>
    <x v="0"/>
    <x v="0"/>
    <x v="2"/>
    <x v="3"/>
    <x v="2"/>
    <n v="2500"/>
    <n v="4.5"/>
    <m/>
    <n v="450"/>
    <n v="25"/>
    <n v="805.00000000000011"/>
    <n v="0.32200000000000006"/>
    <n v="322.00000000000006"/>
  </r>
  <r>
    <x v="0"/>
    <x v="0"/>
    <x v="2"/>
    <x v="3"/>
    <x v="3"/>
    <n v="5000"/>
    <n v="4.5"/>
    <m/>
    <n v="550"/>
    <n v="40.909090909090914"/>
    <n v="1317.2727272727275"/>
    <n v="0.2634545454545455"/>
    <n v="263.4545454545455"/>
  </r>
  <r>
    <x v="0"/>
    <x v="0"/>
    <x v="2"/>
    <x v="3"/>
    <x v="6"/>
    <n v="25000"/>
    <n v="4.5"/>
    <m/>
    <n v="650"/>
    <n v="173.07692307692307"/>
    <n v="5573.0769230769229"/>
    <n v="0.22292307692307692"/>
    <n v="222.92307692307691"/>
  </r>
  <r>
    <x v="0"/>
    <x v="0"/>
    <x v="2"/>
    <x v="4"/>
    <x v="0"/>
    <n v="500"/>
    <n v="1.5"/>
    <n v="1.5"/>
    <m/>
    <n v="2.25"/>
    <n v="72.45"/>
    <n v="0.1449"/>
    <n v="144.9"/>
  </r>
  <r>
    <x v="0"/>
    <x v="0"/>
    <x v="2"/>
    <x v="4"/>
    <x v="1"/>
    <n v="1000"/>
    <n v="1.5"/>
    <n v="2"/>
    <m/>
    <n v="3"/>
    <n v="96.600000000000009"/>
    <n v="9.6600000000000005E-2"/>
    <n v="96.600000000000009"/>
  </r>
  <r>
    <x v="0"/>
    <x v="0"/>
    <x v="2"/>
    <x v="4"/>
    <x v="2"/>
    <n v="2500"/>
    <n v="1.5"/>
    <m/>
    <n v="700"/>
    <n v="5.3571428571428577"/>
    <n v="172.50000000000003"/>
    <n v="6.9000000000000006E-2"/>
    <n v="69"/>
  </r>
  <r>
    <x v="0"/>
    <x v="0"/>
    <x v="2"/>
    <x v="4"/>
    <x v="3"/>
    <n v="5000"/>
    <n v="1.5"/>
    <m/>
    <n v="800"/>
    <n v="9.375"/>
    <n v="301.875"/>
    <n v="6.0374999999999998E-2"/>
    <n v="60.375"/>
  </r>
  <r>
    <x v="0"/>
    <x v="0"/>
    <x v="2"/>
    <x v="4"/>
    <x v="6"/>
    <n v="25000"/>
    <n v="1.5"/>
    <m/>
    <n v="1100"/>
    <n v="34.090909090909093"/>
    <n v="1097.727272727273"/>
    <n v="4.3909090909090918E-2"/>
    <n v="43.909090909090921"/>
  </r>
  <r>
    <x v="0"/>
    <x v="0"/>
    <x v="2"/>
    <x v="5"/>
    <x v="0"/>
    <n v="500"/>
    <n v="2.5"/>
    <n v="1.5"/>
    <m/>
    <n v="3.75"/>
    <n v="120.75000000000001"/>
    <n v="0.24150000000000002"/>
    <n v="241.50000000000003"/>
  </r>
  <r>
    <x v="0"/>
    <x v="0"/>
    <x v="2"/>
    <x v="5"/>
    <x v="1"/>
    <n v="1000"/>
    <n v="2.5"/>
    <n v="2"/>
    <m/>
    <n v="5"/>
    <n v="161"/>
    <n v="0.161"/>
    <n v="161"/>
  </r>
  <r>
    <x v="0"/>
    <x v="0"/>
    <x v="2"/>
    <x v="5"/>
    <x v="2"/>
    <n v="2500"/>
    <n v="2.5"/>
    <m/>
    <n v="700"/>
    <n v="8.9285714285714288"/>
    <n v="287.50000000000006"/>
    <n v="0.11500000000000002"/>
    <n v="115.00000000000001"/>
  </r>
  <r>
    <x v="0"/>
    <x v="0"/>
    <x v="2"/>
    <x v="5"/>
    <x v="3"/>
    <n v="5000"/>
    <n v="2.5"/>
    <m/>
    <n v="800"/>
    <n v="15.625"/>
    <n v="503.12500000000006"/>
    <n v="0.10062500000000001"/>
    <n v="100.625"/>
  </r>
  <r>
    <x v="0"/>
    <x v="0"/>
    <x v="2"/>
    <x v="5"/>
    <x v="6"/>
    <n v="25000"/>
    <n v="2.5"/>
    <m/>
    <n v="1100"/>
    <n v="56.818181818181813"/>
    <n v="1829.5454545454545"/>
    <n v="7.3181818181818181E-2"/>
    <n v="73.181818181818187"/>
  </r>
  <r>
    <x v="0"/>
    <x v="0"/>
    <x v="2"/>
    <x v="6"/>
    <x v="0"/>
    <n v="500"/>
    <n v="1.5"/>
    <n v="1.5"/>
    <m/>
    <n v="2.25"/>
    <n v="72.45"/>
    <n v="0.1449"/>
    <n v="144.9"/>
  </r>
  <r>
    <x v="0"/>
    <x v="0"/>
    <x v="2"/>
    <x v="6"/>
    <x v="1"/>
    <n v="1000"/>
    <n v="1.5"/>
    <n v="2.5"/>
    <m/>
    <n v="3.75"/>
    <n v="120.75000000000001"/>
    <n v="0.12075000000000001"/>
    <n v="120.75000000000001"/>
  </r>
  <r>
    <x v="0"/>
    <x v="0"/>
    <x v="2"/>
    <x v="6"/>
    <x v="2"/>
    <n v="2500"/>
    <n v="1.5"/>
    <m/>
    <n v="600"/>
    <n v="6.25"/>
    <n v="201.25000000000003"/>
    <n v="8.0500000000000016E-2"/>
    <n v="80.500000000000014"/>
  </r>
  <r>
    <x v="0"/>
    <x v="0"/>
    <x v="2"/>
    <x v="6"/>
    <x v="3"/>
    <n v="5000"/>
    <n v="1.5"/>
    <m/>
    <n v="700"/>
    <n v="10.714285714285715"/>
    <n v="345.00000000000006"/>
    <n v="6.9000000000000006E-2"/>
    <n v="69"/>
  </r>
  <r>
    <x v="0"/>
    <x v="0"/>
    <x v="2"/>
    <x v="6"/>
    <x v="6"/>
    <n v="25000"/>
    <n v="1.5"/>
    <m/>
    <n v="1000"/>
    <n v="37.5"/>
    <n v="1207.5"/>
    <n v="4.8300000000000003E-2"/>
    <n v="48.300000000000004"/>
  </r>
  <r>
    <x v="0"/>
    <x v="0"/>
    <x v="2"/>
    <x v="7"/>
    <x v="0"/>
    <n v="500"/>
    <n v="2.5"/>
    <n v="1.5"/>
    <m/>
    <n v="3.75"/>
    <n v="120.75000000000001"/>
    <n v="0.24150000000000002"/>
    <n v="241.50000000000003"/>
  </r>
  <r>
    <x v="0"/>
    <x v="0"/>
    <x v="2"/>
    <x v="7"/>
    <x v="1"/>
    <n v="1000"/>
    <n v="2.5"/>
    <n v="2.5"/>
    <m/>
    <n v="6.25"/>
    <n v="201.25000000000003"/>
    <n v="0.20125000000000004"/>
    <n v="201.25000000000003"/>
  </r>
  <r>
    <x v="0"/>
    <x v="0"/>
    <x v="2"/>
    <x v="7"/>
    <x v="2"/>
    <n v="2500"/>
    <n v="2.5"/>
    <m/>
    <n v="600"/>
    <n v="10.416666666666668"/>
    <n v="335.41666666666674"/>
    <n v="0.13416666666666668"/>
    <n v="134.16666666666669"/>
  </r>
  <r>
    <x v="0"/>
    <x v="0"/>
    <x v="2"/>
    <x v="7"/>
    <x v="3"/>
    <n v="5000"/>
    <n v="2.5"/>
    <m/>
    <n v="700"/>
    <n v="17.857142857142858"/>
    <n v="575.00000000000011"/>
    <n v="0.11500000000000002"/>
    <n v="115.00000000000001"/>
  </r>
  <r>
    <x v="0"/>
    <x v="0"/>
    <x v="2"/>
    <x v="7"/>
    <x v="6"/>
    <n v="25000"/>
    <n v="2.5"/>
    <m/>
    <n v="1000"/>
    <n v="62.5"/>
    <n v="2012.5000000000002"/>
    <n v="8.0500000000000016E-2"/>
    <n v="80.500000000000014"/>
  </r>
  <r>
    <x v="0"/>
    <x v="0"/>
    <x v="3"/>
    <x v="0"/>
    <x v="0"/>
    <n v="500"/>
    <n v="3.5"/>
    <n v="2.5"/>
    <m/>
    <n v="8.75"/>
    <n v="281.75"/>
    <n v="0.5635"/>
    <n v="563.5"/>
  </r>
  <r>
    <x v="0"/>
    <x v="0"/>
    <x v="3"/>
    <x v="0"/>
    <x v="1"/>
    <n v="1000"/>
    <n v="3.5"/>
    <n v="3"/>
    <m/>
    <n v="10.5"/>
    <n v="338.1"/>
    <n v="0.33810000000000001"/>
    <n v="338.1"/>
  </r>
  <r>
    <x v="0"/>
    <x v="0"/>
    <x v="3"/>
    <x v="0"/>
    <x v="2"/>
    <n v="2500"/>
    <n v="3.5"/>
    <m/>
    <n v="425"/>
    <n v="20.588235294117649"/>
    <n v="662.94117647058829"/>
    <n v="0.26517647058823529"/>
    <n v="265.1764705882353"/>
  </r>
  <r>
    <x v="0"/>
    <x v="0"/>
    <x v="3"/>
    <x v="0"/>
    <x v="3"/>
    <n v="5000"/>
    <n v="3.5"/>
    <m/>
    <n v="525"/>
    <n v="33.333333333333336"/>
    <n v="1073.3333333333335"/>
    <n v="0.2146666666666667"/>
    <n v="214.66666666666671"/>
  </r>
  <r>
    <x v="0"/>
    <x v="0"/>
    <x v="3"/>
    <x v="0"/>
    <x v="6"/>
    <n v="25000"/>
    <n v="3.5"/>
    <m/>
    <n v="625"/>
    <n v="140"/>
    <n v="4508"/>
    <n v="0.18032000000000001"/>
    <n v="180.32000000000002"/>
  </r>
  <r>
    <x v="0"/>
    <x v="0"/>
    <x v="3"/>
    <x v="2"/>
    <x v="0"/>
    <n v="500"/>
    <n v="3.5"/>
    <n v="1"/>
    <m/>
    <n v="3.5"/>
    <n v="112.70000000000002"/>
    <n v="0.22540000000000004"/>
    <n v="225.40000000000003"/>
  </r>
  <r>
    <x v="0"/>
    <x v="0"/>
    <x v="3"/>
    <x v="2"/>
    <x v="1"/>
    <n v="1000"/>
    <n v="3.5"/>
    <n v="1.5"/>
    <m/>
    <n v="5.25"/>
    <n v="169.05"/>
    <n v="0.16905000000000001"/>
    <n v="169.05"/>
  </r>
  <r>
    <x v="0"/>
    <x v="0"/>
    <x v="3"/>
    <x v="2"/>
    <x v="2"/>
    <n v="2500"/>
    <n v="3.5"/>
    <m/>
    <n v="675"/>
    <n v="12.962962962962964"/>
    <n v="417.40740740740745"/>
    <n v="0.16696296296296298"/>
    <n v="166.96296296296299"/>
  </r>
  <r>
    <x v="0"/>
    <x v="0"/>
    <x v="3"/>
    <x v="2"/>
    <x v="3"/>
    <n v="5000"/>
    <n v="3.5"/>
    <m/>
    <n v="725"/>
    <n v="24.137931034482758"/>
    <n v="777.24137931034488"/>
    <n v="0.15544827586206897"/>
    <n v="155.44827586206898"/>
  </r>
  <r>
    <x v="0"/>
    <x v="0"/>
    <x v="3"/>
    <x v="2"/>
    <x v="6"/>
    <n v="25000"/>
    <n v="3.5"/>
    <m/>
    <n v="775"/>
    <n v="112.90322580645162"/>
    <n v="3635.4838709677424"/>
    <n v="0.14541935483870969"/>
    <n v="145.41935483870969"/>
  </r>
  <r>
    <x v="0"/>
    <x v="0"/>
    <x v="3"/>
    <x v="3"/>
    <x v="0"/>
    <n v="500"/>
    <n v="4.5"/>
    <n v="2.5"/>
    <m/>
    <n v="11.25"/>
    <n v="362.25000000000006"/>
    <n v="0.72450000000000014"/>
    <n v="724.50000000000011"/>
  </r>
  <r>
    <x v="0"/>
    <x v="0"/>
    <x v="3"/>
    <x v="3"/>
    <x v="1"/>
    <n v="1000"/>
    <n v="4.5"/>
    <n v="3"/>
    <m/>
    <n v="13.5"/>
    <n v="434.70000000000005"/>
    <n v="0.43470000000000003"/>
    <n v="434.70000000000005"/>
  </r>
  <r>
    <x v="0"/>
    <x v="0"/>
    <x v="3"/>
    <x v="3"/>
    <x v="2"/>
    <n v="2500"/>
    <n v="4.5"/>
    <m/>
    <n v="425"/>
    <n v="26.47058823529412"/>
    <n v="852.35294117647072"/>
    <n v="0.3409411764705883"/>
    <n v="340.94117647058829"/>
  </r>
  <r>
    <x v="0"/>
    <x v="0"/>
    <x v="3"/>
    <x v="3"/>
    <x v="3"/>
    <n v="5000"/>
    <n v="4.5"/>
    <m/>
    <n v="525"/>
    <n v="42.857142857142854"/>
    <n v="1380"/>
    <n v="0.27600000000000002"/>
    <n v="276"/>
  </r>
  <r>
    <x v="0"/>
    <x v="0"/>
    <x v="3"/>
    <x v="3"/>
    <x v="6"/>
    <n v="25000"/>
    <n v="4.5"/>
    <m/>
    <n v="625"/>
    <n v="180"/>
    <n v="5796.0000000000009"/>
    <n v="0.23184000000000005"/>
    <n v="231.84000000000003"/>
  </r>
  <r>
    <x v="0"/>
    <x v="0"/>
    <x v="3"/>
    <x v="4"/>
    <x v="0"/>
    <n v="500"/>
    <n v="1.5"/>
    <n v="1.5"/>
    <m/>
    <n v="2.25"/>
    <n v="72.45"/>
    <n v="0.1449"/>
    <n v="144.9"/>
  </r>
  <r>
    <x v="0"/>
    <x v="0"/>
    <x v="3"/>
    <x v="4"/>
    <x v="1"/>
    <n v="1000"/>
    <n v="1.5"/>
    <n v="2"/>
    <m/>
    <n v="3"/>
    <n v="96.600000000000009"/>
    <n v="9.6600000000000005E-2"/>
    <n v="96.600000000000009"/>
  </r>
  <r>
    <x v="0"/>
    <x v="0"/>
    <x v="3"/>
    <x v="4"/>
    <x v="2"/>
    <n v="2500"/>
    <n v="1.5"/>
    <m/>
    <n v="700"/>
    <n v="5.3571428571428577"/>
    <n v="172.50000000000003"/>
    <n v="6.9000000000000006E-2"/>
    <n v="69"/>
  </r>
  <r>
    <x v="0"/>
    <x v="0"/>
    <x v="3"/>
    <x v="4"/>
    <x v="3"/>
    <n v="5000"/>
    <n v="1.5"/>
    <m/>
    <n v="800"/>
    <n v="9.375"/>
    <n v="301.875"/>
    <n v="6.0374999999999998E-2"/>
    <n v="60.375"/>
  </r>
  <r>
    <x v="0"/>
    <x v="0"/>
    <x v="3"/>
    <x v="4"/>
    <x v="6"/>
    <n v="25000"/>
    <n v="1.5"/>
    <m/>
    <n v="1100"/>
    <n v="34.090909090909093"/>
    <n v="1097.727272727273"/>
    <n v="4.3909090909090918E-2"/>
    <n v="43.909090909090921"/>
  </r>
  <r>
    <x v="0"/>
    <x v="0"/>
    <x v="3"/>
    <x v="5"/>
    <x v="0"/>
    <n v="500"/>
    <n v="2.5"/>
    <n v="1"/>
    <m/>
    <n v="2.5"/>
    <n v="80.5"/>
    <n v="0.161"/>
    <n v="161"/>
  </r>
  <r>
    <x v="0"/>
    <x v="0"/>
    <x v="3"/>
    <x v="5"/>
    <x v="1"/>
    <n v="1000"/>
    <n v="2.5"/>
    <n v="1.5"/>
    <m/>
    <n v="3.75"/>
    <n v="120.75000000000001"/>
    <n v="0.12075000000000001"/>
    <n v="120.75000000000001"/>
  </r>
  <r>
    <x v="0"/>
    <x v="0"/>
    <x v="3"/>
    <x v="5"/>
    <x v="2"/>
    <n v="2500"/>
    <n v="2.5"/>
    <m/>
    <n v="800"/>
    <n v="7.8125"/>
    <n v="251.56250000000003"/>
    <n v="0.10062500000000001"/>
    <n v="100.625"/>
  </r>
  <r>
    <x v="0"/>
    <x v="0"/>
    <x v="3"/>
    <x v="5"/>
    <x v="3"/>
    <n v="5000"/>
    <n v="2.5"/>
    <m/>
    <n v="900"/>
    <n v="13.888888888888889"/>
    <n v="447.22222222222229"/>
    <n v="8.9444444444444451E-2"/>
    <n v="89.444444444444457"/>
  </r>
  <r>
    <x v="0"/>
    <x v="0"/>
    <x v="3"/>
    <x v="5"/>
    <x v="6"/>
    <n v="25000"/>
    <n v="2.5"/>
    <m/>
    <n v="1100"/>
    <n v="56.818181818181813"/>
    <n v="1829.5454545454545"/>
    <n v="7.3181818181818181E-2"/>
    <n v="73.181818181818187"/>
  </r>
  <r>
    <x v="0"/>
    <x v="0"/>
    <x v="3"/>
    <x v="6"/>
    <x v="0"/>
    <n v="500"/>
    <n v="1.5"/>
    <n v="1.5"/>
    <m/>
    <n v="2.25"/>
    <n v="72.45"/>
    <n v="0.1449"/>
    <n v="144.9"/>
  </r>
  <r>
    <x v="0"/>
    <x v="0"/>
    <x v="3"/>
    <x v="6"/>
    <x v="1"/>
    <n v="1000"/>
    <n v="1.5"/>
    <n v="2"/>
    <m/>
    <n v="3"/>
    <n v="96.600000000000009"/>
    <n v="9.6600000000000005E-2"/>
    <n v="96.600000000000009"/>
  </r>
  <r>
    <x v="0"/>
    <x v="0"/>
    <x v="3"/>
    <x v="6"/>
    <x v="2"/>
    <n v="2500"/>
    <n v="1.5"/>
    <m/>
    <n v="600"/>
    <n v="6.25"/>
    <n v="201.25000000000003"/>
    <n v="8.0500000000000016E-2"/>
    <n v="80.500000000000014"/>
  </r>
  <r>
    <x v="0"/>
    <x v="0"/>
    <x v="3"/>
    <x v="6"/>
    <x v="3"/>
    <n v="5000"/>
    <n v="1.5"/>
    <m/>
    <n v="700"/>
    <n v="10.714285714285715"/>
    <n v="345.00000000000006"/>
    <n v="6.9000000000000006E-2"/>
    <n v="69"/>
  </r>
  <r>
    <x v="0"/>
    <x v="0"/>
    <x v="3"/>
    <x v="6"/>
    <x v="6"/>
    <n v="25000"/>
    <n v="1.5"/>
    <m/>
    <n v="1000"/>
    <n v="37.5"/>
    <n v="1207.5"/>
    <n v="4.8300000000000003E-2"/>
    <n v="48.300000000000004"/>
  </r>
  <r>
    <x v="0"/>
    <x v="0"/>
    <x v="3"/>
    <x v="7"/>
    <x v="0"/>
    <n v="500"/>
    <n v="2.5"/>
    <n v="1.5"/>
    <m/>
    <n v="3.75"/>
    <n v="120.75000000000001"/>
    <n v="0.24150000000000002"/>
    <n v="241.50000000000003"/>
  </r>
  <r>
    <x v="0"/>
    <x v="0"/>
    <x v="3"/>
    <x v="7"/>
    <x v="1"/>
    <n v="1000"/>
    <n v="2.5"/>
    <n v="2"/>
    <m/>
    <n v="5"/>
    <n v="161"/>
    <n v="0.161"/>
    <n v="161"/>
  </r>
  <r>
    <x v="0"/>
    <x v="0"/>
    <x v="3"/>
    <x v="7"/>
    <x v="2"/>
    <n v="2500"/>
    <n v="2.5"/>
    <m/>
    <n v="600"/>
    <n v="10.416666666666668"/>
    <n v="335.41666666666674"/>
    <n v="0.13416666666666668"/>
    <n v="134.16666666666669"/>
  </r>
  <r>
    <x v="0"/>
    <x v="0"/>
    <x v="3"/>
    <x v="7"/>
    <x v="3"/>
    <n v="5000"/>
    <n v="2.5"/>
    <m/>
    <n v="700"/>
    <n v="17.857142857142858"/>
    <n v="575.00000000000011"/>
    <n v="0.11500000000000002"/>
    <n v="115.00000000000001"/>
  </r>
  <r>
    <x v="0"/>
    <x v="0"/>
    <x v="3"/>
    <x v="7"/>
    <x v="6"/>
    <n v="25000"/>
    <n v="2.5"/>
    <m/>
    <n v="1000"/>
    <n v="62.5"/>
    <n v="2012.5000000000002"/>
    <n v="8.0500000000000016E-2"/>
    <n v="80.500000000000014"/>
  </r>
  <r>
    <x v="0"/>
    <x v="0"/>
    <x v="4"/>
    <x v="0"/>
    <x v="0"/>
    <n v="500"/>
    <n v="3.5"/>
    <n v="2.5"/>
    <m/>
    <n v="8.75"/>
    <n v="281.75"/>
    <n v="0.5635"/>
    <n v="563.5"/>
  </r>
  <r>
    <x v="0"/>
    <x v="0"/>
    <x v="4"/>
    <x v="0"/>
    <x v="1"/>
    <n v="1000"/>
    <n v="3.5"/>
    <n v="3"/>
    <m/>
    <n v="10.5"/>
    <n v="338.1"/>
    <n v="0.33810000000000001"/>
    <n v="338.1"/>
  </r>
  <r>
    <x v="0"/>
    <x v="0"/>
    <x v="4"/>
    <x v="0"/>
    <x v="2"/>
    <n v="2500"/>
    <n v="3.5"/>
    <m/>
    <n v="400"/>
    <n v="21.875"/>
    <n v="704.37500000000011"/>
    <n v="0.28175000000000006"/>
    <n v="281.75000000000006"/>
  </r>
  <r>
    <x v="0"/>
    <x v="0"/>
    <x v="4"/>
    <x v="0"/>
    <x v="3"/>
    <n v="5000"/>
    <n v="3.5"/>
    <m/>
    <n v="425"/>
    <n v="41.176470588235297"/>
    <n v="1325.8823529411766"/>
    <n v="0.26517647058823529"/>
    <n v="265.1764705882353"/>
  </r>
  <r>
    <x v="0"/>
    <x v="0"/>
    <x v="4"/>
    <x v="0"/>
    <x v="6"/>
    <n v="25000"/>
    <n v="3.5"/>
    <m/>
    <n v="450"/>
    <n v="194.44444444444446"/>
    <n v="6261.1111111111122"/>
    <n v="0.25044444444444447"/>
    <n v="250.44444444444446"/>
  </r>
  <r>
    <x v="0"/>
    <x v="0"/>
    <x v="4"/>
    <x v="2"/>
    <x v="0"/>
    <n v="500"/>
    <n v="3.5"/>
    <n v="1.5"/>
    <m/>
    <n v="5.25"/>
    <n v="169.05"/>
    <n v="0.33810000000000001"/>
    <n v="338.1"/>
  </r>
  <r>
    <x v="0"/>
    <x v="0"/>
    <x v="4"/>
    <x v="2"/>
    <x v="1"/>
    <n v="1000"/>
    <n v="3.5"/>
    <n v="2.5"/>
    <m/>
    <n v="8.75"/>
    <n v="281.75"/>
    <n v="0.28175"/>
    <n v="281.75"/>
  </r>
  <r>
    <x v="0"/>
    <x v="0"/>
    <x v="4"/>
    <x v="2"/>
    <x v="2"/>
    <n v="2500"/>
    <n v="3.5"/>
    <m/>
    <n v="550"/>
    <n v="15.90909090909091"/>
    <n v="512.27272727272737"/>
    <n v="0.20490909090909096"/>
    <n v="204.90909090909096"/>
  </r>
  <r>
    <x v="0"/>
    <x v="0"/>
    <x v="4"/>
    <x v="2"/>
    <x v="3"/>
    <n v="5000"/>
    <n v="3.5"/>
    <m/>
    <n v="600"/>
    <n v="29.166666666666668"/>
    <n v="939.16666666666674"/>
    <n v="0.18783333333333335"/>
    <n v="187.83333333333334"/>
  </r>
  <r>
    <x v="0"/>
    <x v="0"/>
    <x v="4"/>
    <x v="2"/>
    <x v="6"/>
    <n v="25000"/>
    <n v="3.5"/>
    <m/>
    <n v="650"/>
    <n v="134.61538461538461"/>
    <n v="4334.6153846153848"/>
    <n v="0.17338461538461539"/>
    <n v="173.38461538461539"/>
  </r>
  <r>
    <x v="0"/>
    <x v="0"/>
    <x v="4"/>
    <x v="3"/>
    <x v="0"/>
    <n v="500"/>
    <n v="4.5"/>
    <n v="2.5"/>
    <m/>
    <n v="11.25"/>
    <n v="362.25000000000006"/>
    <n v="0.72450000000000014"/>
    <n v="724.50000000000011"/>
  </r>
  <r>
    <x v="0"/>
    <x v="0"/>
    <x v="4"/>
    <x v="3"/>
    <x v="1"/>
    <n v="1000"/>
    <n v="4.5"/>
    <n v="3"/>
    <m/>
    <n v="13.5"/>
    <n v="434.70000000000005"/>
    <n v="0.43470000000000003"/>
    <n v="434.70000000000005"/>
  </r>
  <r>
    <x v="0"/>
    <x v="0"/>
    <x v="4"/>
    <x v="3"/>
    <x v="2"/>
    <n v="2500"/>
    <n v="4.5"/>
    <m/>
    <n v="400"/>
    <n v="28.125"/>
    <n v="905.62500000000011"/>
    <n v="0.36225000000000007"/>
    <n v="362.25000000000006"/>
  </r>
  <r>
    <x v="0"/>
    <x v="0"/>
    <x v="4"/>
    <x v="3"/>
    <x v="3"/>
    <n v="5000"/>
    <n v="4.5"/>
    <m/>
    <n v="425"/>
    <n v="52.941176470588239"/>
    <n v="1704.7058823529414"/>
    <n v="0.3409411764705883"/>
    <n v="340.94117647058829"/>
  </r>
  <r>
    <x v="0"/>
    <x v="0"/>
    <x v="4"/>
    <x v="3"/>
    <x v="6"/>
    <n v="25000"/>
    <n v="4.5"/>
    <m/>
    <n v="450"/>
    <n v="250"/>
    <n v="8050.0000000000009"/>
    <n v="0.32200000000000006"/>
    <n v="322.00000000000006"/>
  </r>
  <r>
    <x v="0"/>
    <x v="0"/>
    <x v="4"/>
    <x v="4"/>
    <x v="0"/>
    <n v="500"/>
    <n v="1.5"/>
    <n v="2"/>
    <m/>
    <n v="3"/>
    <n v="96.600000000000009"/>
    <n v="0.19320000000000001"/>
    <n v="193.20000000000002"/>
  </r>
  <r>
    <x v="0"/>
    <x v="0"/>
    <x v="4"/>
    <x v="4"/>
    <x v="1"/>
    <n v="1000"/>
    <n v="1.5"/>
    <n v="2.5"/>
    <m/>
    <n v="3.75"/>
    <n v="120.75000000000001"/>
    <n v="0.12075000000000001"/>
    <n v="120.75000000000001"/>
  </r>
  <r>
    <x v="0"/>
    <x v="0"/>
    <x v="4"/>
    <x v="4"/>
    <x v="2"/>
    <n v="2500"/>
    <n v="1.5"/>
    <m/>
    <n v="600"/>
    <n v="6.25"/>
    <n v="201.25000000000003"/>
    <n v="8.0500000000000016E-2"/>
    <n v="80.500000000000014"/>
  </r>
  <r>
    <x v="0"/>
    <x v="0"/>
    <x v="4"/>
    <x v="4"/>
    <x v="3"/>
    <n v="5000"/>
    <n v="1.5"/>
    <m/>
    <n v="700"/>
    <n v="10.714285714285715"/>
    <n v="345.00000000000006"/>
    <n v="6.9000000000000006E-2"/>
    <n v="69"/>
  </r>
  <r>
    <x v="0"/>
    <x v="0"/>
    <x v="4"/>
    <x v="4"/>
    <x v="6"/>
    <n v="25000"/>
    <n v="1.5"/>
    <m/>
    <n v="900"/>
    <n v="41.666666666666671"/>
    <n v="1341.666666666667"/>
    <n v="5.3666666666666682E-2"/>
    <n v="53.666666666666679"/>
  </r>
  <r>
    <x v="0"/>
    <x v="0"/>
    <x v="4"/>
    <x v="5"/>
    <x v="0"/>
    <n v="500"/>
    <n v="2.5"/>
    <n v="2"/>
    <m/>
    <n v="5"/>
    <n v="161"/>
    <n v="0.32200000000000001"/>
    <n v="322"/>
  </r>
  <r>
    <x v="0"/>
    <x v="0"/>
    <x v="4"/>
    <x v="5"/>
    <x v="1"/>
    <n v="1000"/>
    <n v="2.5"/>
    <n v="2.5"/>
    <m/>
    <n v="6.25"/>
    <n v="201.25000000000003"/>
    <n v="0.20125000000000004"/>
    <n v="201.25000000000003"/>
  </r>
  <r>
    <x v="0"/>
    <x v="0"/>
    <x v="4"/>
    <x v="5"/>
    <x v="2"/>
    <n v="2500"/>
    <n v="2.5"/>
    <m/>
    <n v="600"/>
    <n v="10.416666666666668"/>
    <n v="335.41666666666674"/>
    <n v="0.13416666666666668"/>
    <n v="134.16666666666669"/>
  </r>
  <r>
    <x v="0"/>
    <x v="0"/>
    <x v="4"/>
    <x v="5"/>
    <x v="3"/>
    <n v="5000"/>
    <n v="2.5"/>
    <m/>
    <n v="700"/>
    <n v="17.857142857142858"/>
    <n v="575.00000000000011"/>
    <n v="0.11500000000000002"/>
    <n v="115.00000000000001"/>
  </r>
  <r>
    <x v="0"/>
    <x v="0"/>
    <x v="4"/>
    <x v="5"/>
    <x v="6"/>
    <n v="25000"/>
    <n v="2.5"/>
    <m/>
    <n v="900"/>
    <n v="69.444444444444443"/>
    <n v="2236.1111111111113"/>
    <n v="8.9444444444444451E-2"/>
    <n v="89.444444444444457"/>
  </r>
  <r>
    <x v="0"/>
    <x v="0"/>
    <x v="4"/>
    <x v="6"/>
    <x v="0"/>
    <n v="500"/>
    <n v="1.5"/>
    <n v="2"/>
    <m/>
    <n v="3"/>
    <n v="96.600000000000009"/>
    <n v="0.19320000000000001"/>
    <n v="193.20000000000002"/>
  </r>
  <r>
    <x v="0"/>
    <x v="0"/>
    <x v="4"/>
    <x v="6"/>
    <x v="1"/>
    <n v="1000"/>
    <n v="1.5"/>
    <n v="3"/>
    <m/>
    <n v="4.5"/>
    <n v="144.9"/>
    <n v="0.1449"/>
    <n v="144.9"/>
  </r>
  <r>
    <x v="0"/>
    <x v="0"/>
    <x v="4"/>
    <x v="6"/>
    <x v="2"/>
    <n v="2500"/>
    <n v="1.5"/>
    <m/>
    <n v="500"/>
    <n v="7.5"/>
    <n v="241.50000000000003"/>
    <n v="9.6600000000000005E-2"/>
    <n v="96.600000000000009"/>
  </r>
  <r>
    <x v="0"/>
    <x v="0"/>
    <x v="4"/>
    <x v="6"/>
    <x v="3"/>
    <n v="5000"/>
    <n v="1.5"/>
    <m/>
    <n v="600"/>
    <n v="12.5"/>
    <n v="402.50000000000006"/>
    <n v="8.0500000000000016E-2"/>
    <n v="80.500000000000014"/>
  </r>
  <r>
    <x v="0"/>
    <x v="0"/>
    <x v="4"/>
    <x v="6"/>
    <x v="6"/>
    <n v="25000"/>
    <n v="1.5"/>
    <m/>
    <n v="800"/>
    <n v="46.875"/>
    <n v="1509.3750000000002"/>
    <n v="6.0375000000000012E-2"/>
    <n v="60.375000000000014"/>
  </r>
  <r>
    <x v="0"/>
    <x v="0"/>
    <x v="4"/>
    <x v="7"/>
    <x v="0"/>
    <n v="500"/>
    <n v="2.5"/>
    <n v="2"/>
    <m/>
    <n v="5"/>
    <n v="161"/>
    <n v="0.32200000000000001"/>
    <n v="322"/>
  </r>
  <r>
    <x v="0"/>
    <x v="0"/>
    <x v="4"/>
    <x v="7"/>
    <x v="1"/>
    <n v="1000"/>
    <n v="2.5"/>
    <n v="3"/>
    <m/>
    <n v="7.5"/>
    <n v="241.50000000000003"/>
    <n v="0.24150000000000002"/>
    <n v="241.50000000000003"/>
  </r>
  <r>
    <x v="0"/>
    <x v="0"/>
    <x v="4"/>
    <x v="7"/>
    <x v="2"/>
    <n v="2500"/>
    <n v="2.5"/>
    <m/>
    <n v="500"/>
    <n v="12.5"/>
    <n v="402.50000000000006"/>
    <n v="0.16100000000000003"/>
    <n v="161.00000000000003"/>
  </r>
  <r>
    <x v="0"/>
    <x v="0"/>
    <x v="4"/>
    <x v="7"/>
    <x v="3"/>
    <n v="5000"/>
    <n v="2.5"/>
    <m/>
    <n v="600"/>
    <n v="20.833333333333336"/>
    <n v="670.83333333333348"/>
    <n v="0.13416666666666668"/>
    <n v="134.16666666666669"/>
  </r>
  <r>
    <x v="0"/>
    <x v="0"/>
    <x v="4"/>
    <x v="7"/>
    <x v="6"/>
    <n v="25000"/>
    <n v="2.5"/>
    <m/>
    <n v="800"/>
    <n v="78.125"/>
    <n v="2515.625"/>
    <n v="0.10062500000000001"/>
    <n v="100.625"/>
  </r>
  <r>
    <x v="0"/>
    <x v="0"/>
    <x v="5"/>
    <x v="0"/>
    <x v="0"/>
    <n v="500"/>
    <n v="3.5"/>
    <n v="2.5"/>
    <m/>
    <n v="8.75"/>
    <n v="281.75"/>
    <n v="0.5635"/>
    <n v="563.5"/>
  </r>
  <r>
    <x v="0"/>
    <x v="0"/>
    <x v="5"/>
    <x v="0"/>
    <x v="1"/>
    <n v="1000"/>
    <n v="3.5"/>
    <n v="3"/>
    <m/>
    <n v="10.5"/>
    <n v="338.1"/>
    <n v="0.33810000000000001"/>
    <n v="338.1"/>
  </r>
  <r>
    <x v="0"/>
    <x v="0"/>
    <x v="5"/>
    <x v="0"/>
    <x v="2"/>
    <n v="2500"/>
    <n v="3.5"/>
    <m/>
    <n v="375"/>
    <n v="23.333333333333336"/>
    <n v="751.33333333333348"/>
    <n v="0.30053333333333337"/>
    <n v="300.53333333333336"/>
  </r>
  <r>
    <x v="0"/>
    <x v="0"/>
    <x v="5"/>
    <x v="0"/>
    <x v="3"/>
    <n v="5000"/>
    <n v="3.5"/>
    <m/>
    <n v="400"/>
    <n v="43.75"/>
    <n v="1408.7500000000002"/>
    <n v="0.28175000000000006"/>
    <n v="281.75000000000006"/>
  </r>
  <r>
    <x v="0"/>
    <x v="0"/>
    <x v="5"/>
    <x v="0"/>
    <x v="6"/>
    <n v="25000"/>
    <n v="3.5"/>
    <m/>
    <n v="425"/>
    <n v="205.88235294117646"/>
    <n v="6629.4117647058829"/>
    <n v="0.26517647058823529"/>
    <n v="265.1764705882353"/>
  </r>
  <r>
    <x v="0"/>
    <x v="0"/>
    <x v="5"/>
    <x v="2"/>
    <x v="0"/>
    <n v="500"/>
    <n v="3.5"/>
    <n v="2"/>
    <m/>
    <n v="7"/>
    <n v="225.40000000000003"/>
    <n v="0.45080000000000009"/>
    <n v="450.80000000000007"/>
  </r>
  <r>
    <x v="0"/>
    <x v="0"/>
    <x v="5"/>
    <x v="2"/>
    <x v="1"/>
    <n v="1000"/>
    <n v="3.5"/>
    <n v="2.5"/>
    <m/>
    <n v="8.75"/>
    <n v="281.75"/>
    <n v="0.28175"/>
    <n v="281.75"/>
  </r>
  <r>
    <x v="0"/>
    <x v="0"/>
    <x v="5"/>
    <x v="2"/>
    <x v="2"/>
    <n v="2500"/>
    <n v="3.5"/>
    <m/>
    <n v="450"/>
    <n v="19.444444444444443"/>
    <n v="626.11111111111109"/>
    <n v="0.25044444444444441"/>
    <n v="250.4444444444444"/>
  </r>
  <r>
    <x v="0"/>
    <x v="0"/>
    <x v="5"/>
    <x v="2"/>
    <x v="3"/>
    <n v="5000"/>
    <n v="3.5"/>
    <m/>
    <n v="500"/>
    <n v="35"/>
    <n v="1127"/>
    <n v="0.22539999999999999"/>
    <n v="225.39999999999998"/>
  </r>
  <r>
    <x v="0"/>
    <x v="0"/>
    <x v="5"/>
    <x v="2"/>
    <x v="6"/>
    <n v="25000"/>
    <n v="3.5"/>
    <m/>
    <n v="550"/>
    <n v="159.09090909090909"/>
    <n v="5122.727272727273"/>
    <n v="0.20490909090909093"/>
    <n v="204.90909090909093"/>
  </r>
  <r>
    <x v="0"/>
    <x v="0"/>
    <x v="5"/>
    <x v="3"/>
    <x v="0"/>
    <n v="500"/>
    <n v="4.5"/>
    <n v="2.5"/>
    <m/>
    <n v="11.25"/>
    <n v="362.25000000000006"/>
    <n v="0.72450000000000014"/>
    <n v="724.50000000000011"/>
  </r>
  <r>
    <x v="0"/>
    <x v="0"/>
    <x v="5"/>
    <x v="3"/>
    <x v="1"/>
    <n v="1000"/>
    <n v="4.5"/>
    <n v="3"/>
    <m/>
    <n v="13.5"/>
    <n v="434.70000000000005"/>
    <n v="0.43470000000000003"/>
    <n v="434.70000000000005"/>
  </r>
  <r>
    <x v="0"/>
    <x v="0"/>
    <x v="5"/>
    <x v="3"/>
    <x v="2"/>
    <n v="2500"/>
    <n v="4.5"/>
    <m/>
    <n v="375"/>
    <n v="30"/>
    <n v="966.00000000000011"/>
    <n v="0.38640000000000002"/>
    <n v="386.40000000000003"/>
  </r>
  <r>
    <x v="0"/>
    <x v="0"/>
    <x v="5"/>
    <x v="3"/>
    <x v="3"/>
    <n v="5000"/>
    <n v="4.5"/>
    <m/>
    <n v="400"/>
    <n v="56.25"/>
    <n v="1811.2500000000002"/>
    <n v="0.36225000000000007"/>
    <n v="362.25000000000006"/>
  </r>
  <r>
    <x v="0"/>
    <x v="0"/>
    <x v="5"/>
    <x v="3"/>
    <x v="6"/>
    <n v="25000"/>
    <n v="4.5"/>
    <m/>
    <n v="425"/>
    <n v="264.70588235294116"/>
    <n v="8523.5294117647063"/>
    <n v="0.34094117647058825"/>
    <n v="340.94117647058823"/>
  </r>
  <r>
    <x v="0"/>
    <x v="0"/>
    <x v="5"/>
    <x v="4"/>
    <x v="0"/>
    <n v="500"/>
    <n v="1.5"/>
    <n v="2"/>
    <m/>
    <n v="3"/>
    <n v="96.600000000000009"/>
    <n v="0.19320000000000001"/>
    <n v="193.20000000000002"/>
  </r>
  <r>
    <x v="0"/>
    <x v="0"/>
    <x v="5"/>
    <x v="4"/>
    <x v="1"/>
    <n v="1000"/>
    <n v="1.5"/>
    <n v="3"/>
    <m/>
    <n v="4.5"/>
    <n v="144.9"/>
    <n v="0.1449"/>
    <n v="144.9"/>
  </r>
  <r>
    <x v="0"/>
    <x v="0"/>
    <x v="5"/>
    <x v="4"/>
    <x v="2"/>
    <n v="2500"/>
    <n v="1.5"/>
    <m/>
    <n v="550"/>
    <n v="6.8181818181818183"/>
    <n v="219.54545454545456"/>
    <n v="8.7818181818181823E-2"/>
    <n v="87.818181818181827"/>
  </r>
  <r>
    <x v="0"/>
    <x v="0"/>
    <x v="5"/>
    <x v="4"/>
    <x v="3"/>
    <n v="5000"/>
    <n v="1.5"/>
    <m/>
    <n v="650"/>
    <n v="11.538461538461538"/>
    <n v="371.53846153846155"/>
    <n v="7.4307692307692311E-2"/>
    <n v="74.307692307692307"/>
  </r>
  <r>
    <x v="0"/>
    <x v="0"/>
    <x v="5"/>
    <x v="4"/>
    <x v="6"/>
    <n v="25000"/>
    <n v="1.5"/>
    <m/>
    <n v="800"/>
    <n v="46.875"/>
    <n v="1509.3750000000002"/>
    <n v="6.0375000000000012E-2"/>
    <n v="60.375000000000014"/>
  </r>
  <r>
    <x v="0"/>
    <x v="0"/>
    <x v="5"/>
    <x v="5"/>
    <x v="0"/>
    <n v="500"/>
    <n v="2.5"/>
    <n v="2"/>
    <m/>
    <n v="5"/>
    <n v="161"/>
    <n v="0.32200000000000001"/>
    <n v="322"/>
  </r>
  <r>
    <x v="0"/>
    <x v="0"/>
    <x v="5"/>
    <x v="5"/>
    <x v="1"/>
    <n v="1000"/>
    <n v="2.5"/>
    <n v="3"/>
    <m/>
    <n v="7.5"/>
    <n v="241.50000000000003"/>
    <n v="0.24150000000000002"/>
    <n v="241.50000000000003"/>
  </r>
  <r>
    <x v="0"/>
    <x v="0"/>
    <x v="5"/>
    <x v="5"/>
    <x v="2"/>
    <n v="2500"/>
    <n v="2.5"/>
    <m/>
    <n v="550"/>
    <n v="11.363636363636365"/>
    <n v="365.90909090909099"/>
    <n v="0.14636363636363639"/>
    <n v="146.3636363636364"/>
  </r>
  <r>
    <x v="0"/>
    <x v="0"/>
    <x v="5"/>
    <x v="5"/>
    <x v="3"/>
    <n v="5000"/>
    <n v="2.5"/>
    <m/>
    <n v="650"/>
    <n v="19.23076923076923"/>
    <n v="619.23076923076928"/>
    <n v="0.12384615384615386"/>
    <n v="123.84615384615385"/>
  </r>
  <r>
    <x v="0"/>
    <x v="0"/>
    <x v="5"/>
    <x v="5"/>
    <x v="6"/>
    <n v="25000"/>
    <n v="2.5"/>
    <m/>
    <n v="800"/>
    <n v="78.125"/>
    <n v="2515.625"/>
    <n v="0.10062500000000001"/>
    <n v="100.625"/>
  </r>
  <r>
    <x v="0"/>
    <x v="0"/>
    <x v="5"/>
    <x v="6"/>
    <x v="0"/>
    <n v="500"/>
    <n v="1.5"/>
    <n v="2"/>
    <m/>
    <n v="3"/>
    <n v="96.600000000000009"/>
    <n v="0.19320000000000001"/>
    <n v="193.20000000000002"/>
  </r>
  <r>
    <x v="0"/>
    <x v="0"/>
    <x v="5"/>
    <x v="6"/>
    <x v="1"/>
    <n v="1000"/>
    <n v="1.5"/>
    <n v="3.5"/>
    <m/>
    <n v="5.25"/>
    <n v="169.05"/>
    <n v="0.16905000000000001"/>
    <n v="169.05"/>
  </r>
  <r>
    <x v="0"/>
    <x v="0"/>
    <x v="5"/>
    <x v="6"/>
    <x v="2"/>
    <n v="2500"/>
    <n v="1.5"/>
    <m/>
    <n v="450"/>
    <n v="8.3333333333333321"/>
    <n v="268.33333333333331"/>
    <n v="0.10733333333333332"/>
    <n v="107.33333333333333"/>
  </r>
  <r>
    <x v="0"/>
    <x v="0"/>
    <x v="5"/>
    <x v="6"/>
    <x v="3"/>
    <n v="5000"/>
    <n v="1.5"/>
    <m/>
    <n v="550"/>
    <n v="13.636363636363637"/>
    <n v="439.09090909090912"/>
    <n v="8.7818181818181823E-2"/>
    <n v="87.818181818181827"/>
  </r>
  <r>
    <x v="0"/>
    <x v="0"/>
    <x v="5"/>
    <x v="6"/>
    <x v="6"/>
    <n v="25000"/>
    <n v="1.5"/>
    <m/>
    <n v="700"/>
    <n v="53.571428571428569"/>
    <n v="1725"/>
    <n v="6.9000000000000006E-2"/>
    <n v="69"/>
  </r>
  <r>
    <x v="0"/>
    <x v="0"/>
    <x v="5"/>
    <x v="7"/>
    <x v="0"/>
    <n v="500"/>
    <n v="2.5"/>
    <n v="2"/>
    <m/>
    <n v="5"/>
    <n v="161"/>
    <n v="0.32200000000000001"/>
    <n v="322"/>
  </r>
  <r>
    <x v="0"/>
    <x v="0"/>
    <x v="5"/>
    <x v="7"/>
    <x v="1"/>
    <n v="1000"/>
    <n v="2.5"/>
    <n v="3.5"/>
    <m/>
    <n v="8.75"/>
    <n v="281.75"/>
    <n v="0.28175"/>
    <n v="281.75"/>
  </r>
  <r>
    <x v="0"/>
    <x v="0"/>
    <x v="5"/>
    <x v="7"/>
    <x v="2"/>
    <n v="2500"/>
    <n v="2.5"/>
    <m/>
    <n v="450"/>
    <n v="13.888888888888889"/>
    <n v="447.22222222222229"/>
    <n v="0.1788888888888889"/>
    <n v="178.88888888888891"/>
  </r>
  <r>
    <x v="0"/>
    <x v="0"/>
    <x v="5"/>
    <x v="7"/>
    <x v="3"/>
    <n v="5000"/>
    <n v="2.5"/>
    <m/>
    <n v="550"/>
    <n v="22.72727272727273"/>
    <n v="731.81818181818198"/>
    <n v="0.14636363636363639"/>
    <n v="146.3636363636364"/>
  </r>
  <r>
    <x v="0"/>
    <x v="0"/>
    <x v="5"/>
    <x v="7"/>
    <x v="6"/>
    <n v="25000"/>
    <n v="2.5"/>
    <m/>
    <n v="700"/>
    <n v="89.285714285714292"/>
    <n v="2875.0000000000005"/>
    <n v="0.11500000000000002"/>
    <n v="115.00000000000001"/>
  </r>
  <r>
    <x v="1"/>
    <x v="0"/>
    <x v="3"/>
    <x v="0"/>
    <x v="0"/>
    <n v="500"/>
    <n v="3.5"/>
    <n v="2.5"/>
    <m/>
    <n v="8.75"/>
    <n v="281.75"/>
    <n v="0.5635"/>
    <n v="563.5"/>
  </r>
  <r>
    <x v="1"/>
    <x v="0"/>
    <x v="3"/>
    <x v="0"/>
    <x v="1"/>
    <n v="1000"/>
    <n v="3.5"/>
    <n v="3"/>
    <m/>
    <n v="10.5"/>
    <n v="338.1"/>
    <n v="0.33810000000000001"/>
    <n v="338.1"/>
  </r>
  <r>
    <x v="1"/>
    <x v="0"/>
    <x v="3"/>
    <x v="0"/>
    <x v="2"/>
    <n v="2500"/>
    <n v="3.5"/>
    <m/>
    <n v="400"/>
    <n v="21.875"/>
    <n v="704.37500000000011"/>
    <n v="0.28175000000000006"/>
    <n v="281.75000000000006"/>
  </r>
  <r>
    <x v="1"/>
    <x v="0"/>
    <x v="3"/>
    <x v="0"/>
    <x v="3"/>
    <n v="5000"/>
    <n v="3.5"/>
    <m/>
    <n v="500"/>
    <n v="35"/>
    <n v="1127"/>
    <n v="0.22539999999999999"/>
    <n v="225.39999999999998"/>
  </r>
  <r>
    <x v="1"/>
    <x v="0"/>
    <x v="3"/>
    <x v="0"/>
    <x v="6"/>
    <n v="25000"/>
    <n v="3.5"/>
    <m/>
    <n v="550"/>
    <n v="159.09090909090909"/>
    <n v="5122.727272727273"/>
    <n v="0.20490909090909093"/>
    <n v="204.90909090909093"/>
  </r>
  <r>
    <x v="1"/>
    <x v="0"/>
    <x v="3"/>
    <x v="2"/>
    <x v="0"/>
    <n v="500"/>
    <n v="3.5"/>
    <n v="1.5"/>
    <m/>
    <n v="5.25"/>
    <n v="169.05"/>
    <n v="0.33810000000000001"/>
    <n v="338.1"/>
  </r>
  <r>
    <x v="1"/>
    <x v="0"/>
    <x v="3"/>
    <x v="2"/>
    <x v="1"/>
    <n v="1000"/>
    <n v="3.5"/>
    <n v="2"/>
    <m/>
    <n v="7"/>
    <n v="225.40000000000003"/>
    <n v="0.22540000000000004"/>
    <n v="225.40000000000003"/>
  </r>
  <r>
    <x v="1"/>
    <x v="0"/>
    <x v="3"/>
    <x v="2"/>
    <x v="2"/>
    <n v="2500"/>
    <n v="3.5"/>
    <m/>
    <n v="550"/>
    <n v="15.90909090909091"/>
    <n v="512.27272727272737"/>
    <n v="0.20490909090909096"/>
    <n v="204.90909090909096"/>
  </r>
  <r>
    <x v="1"/>
    <x v="0"/>
    <x v="3"/>
    <x v="2"/>
    <x v="3"/>
    <n v="5000"/>
    <n v="3.5"/>
    <m/>
    <n v="600"/>
    <n v="29.166666666666668"/>
    <n v="939.16666666666674"/>
    <n v="0.18783333333333335"/>
    <n v="187.83333333333334"/>
  </r>
  <r>
    <x v="1"/>
    <x v="0"/>
    <x v="3"/>
    <x v="2"/>
    <x v="6"/>
    <n v="25000"/>
    <n v="3.5"/>
    <m/>
    <n v="650"/>
    <n v="134.61538461538461"/>
    <n v="4334.6153846153848"/>
    <n v="0.17338461538461539"/>
    <n v="173.38461538461539"/>
  </r>
  <r>
    <x v="1"/>
    <x v="0"/>
    <x v="3"/>
    <x v="3"/>
    <x v="0"/>
    <n v="500"/>
    <n v="4.5"/>
    <n v="2.5"/>
    <m/>
    <n v="11.25"/>
    <n v="362.25000000000006"/>
    <n v="0.72450000000000014"/>
    <n v="724.50000000000011"/>
  </r>
  <r>
    <x v="1"/>
    <x v="0"/>
    <x v="3"/>
    <x v="3"/>
    <x v="1"/>
    <n v="1000"/>
    <n v="4.5"/>
    <n v="3"/>
    <m/>
    <n v="13.5"/>
    <n v="434.70000000000005"/>
    <n v="0.43470000000000003"/>
    <n v="434.70000000000005"/>
  </r>
  <r>
    <x v="1"/>
    <x v="0"/>
    <x v="3"/>
    <x v="3"/>
    <x v="2"/>
    <n v="2500"/>
    <n v="4.5"/>
    <m/>
    <n v="400"/>
    <n v="28.125"/>
    <n v="905.62500000000011"/>
    <n v="0.36225000000000007"/>
    <n v="362.25000000000006"/>
  </r>
  <r>
    <x v="1"/>
    <x v="0"/>
    <x v="3"/>
    <x v="3"/>
    <x v="3"/>
    <n v="5000"/>
    <n v="4.5"/>
    <m/>
    <n v="500"/>
    <n v="45"/>
    <n v="1449.0000000000002"/>
    <n v="0.28980000000000006"/>
    <n v="289.80000000000007"/>
  </r>
  <r>
    <x v="1"/>
    <x v="0"/>
    <x v="3"/>
    <x v="3"/>
    <x v="6"/>
    <n v="25000"/>
    <n v="4.5"/>
    <m/>
    <n v="550"/>
    <n v="204.54545454545453"/>
    <n v="6586.3636363636369"/>
    <n v="0.2634545454545455"/>
    <n v="263.4545454545455"/>
  </r>
  <r>
    <x v="1"/>
    <x v="0"/>
    <x v="3"/>
    <x v="4"/>
    <x v="0"/>
    <n v="500"/>
    <n v="1.5"/>
    <n v="1.5"/>
    <m/>
    <n v="2.25"/>
    <n v="72.45"/>
    <n v="0.1449"/>
    <n v="144.9"/>
  </r>
  <r>
    <x v="1"/>
    <x v="0"/>
    <x v="3"/>
    <x v="4"/>
    <x v="1"/>
    <n v="1000"/>
    <n v="1.5"/>
    <n v="2"/>
    <m/>
    <n v="3"/>
    <n v="96.600000000000009"/>
    <n v="9.6600000000000005E-2"/>
    <n v="96.600000000000009"/>
  </r>
  <r>
    <x v="1"/>
    <x v="0"/>
    <x v="3"/>
    <x v="4"/>
    <x v="2"/>
    <n v="2500"/>
    <n v="1.5"/>
    <m/>
    <n v="650"/>
    <n v="5.7692307692307692"/>
    <n v="185.76923076923077"/>
    <n v="7.4307692307692311E-2"/>
    <n v="74.307692307692307"/>
  </r>
  <r>
    <x v="1"/>
    <x v="0"/>
    <x v="3"/>
    <x v="4"/>
    <x v="3"/>
    <n v="5000"/>
    <n v="1.5"/>
    <m/>
    <n v="750"/>
    <n v="10"/>
    <n v="322"/>
    <n v="6.4399999999999999E-2"/>
    <n v="64.400000000000006"/>
  </r>
  <r>
    <x v="1"/>
    <x v="0"/>
    <x v="3"/>
    <x v="4"/>
    <x v="6"/>
    <n v="25000"/>
    <n v="1.5"/>
    <m/>
    <n v="800"/>
    <n v="46.875"/>
    <n v="1509.3750000000002"/>
    <n v="6.0375000000000012E-2"/>
    <n v="60.375000000000014"/>
  </r>
  <r>
    <x v="1"/>
    <x v="0"/>
    <x v="3"/>
    <x v="5"/>
    <x v="0"/>
    <n v="500"/>
    <n v="2.5"/>
    <n v="1.5"/>
    <m/>
    <n v="3.75"/>
    <n v="120.75000000000001"/>
    <n v="0.24150000000000002"/>
    <n v="241.50000000000003"/>
  </r>
  <r>
    <x v="1"/>
    <x v="0"/>
    <x v="3"/>
    <x v="5"/>
    <x v="1"/>
    <n v="1000"/>
    <n v="2.5"/>
    <n v="2"/>
    <m/>
    <n v="5"/>
    <n v="161"/>
    <n v="0.161"/>
    <n v="161"/>
  </r>
  <r>
    <x v="1"/>
    <x v="0"/>
    <x v="3"/>
    <x v="5"/>
    <x v="2"/>
    <n v="2500"/>
    <n v="2.5"/>
    <m/>
    <n v="650"/>
    <n v="9.615384615384615"/>
    <n v="309.61538461538464"/>
    <n v="0.12384615384615386"/>
    <n v="123.84615384615385"/>
  </r>
  <r>
    <x v="1"/>
    <x v="0"/>
    <x v="3"/>
    <x v="5"/>
    <x v="3"/>
    <n v="5000"/>
    <n v="2.5"/>
    <m/>
    <n v="750"/>
    <n v="16.666666666666668"/>
    <n v="536.66666666666674"/>
    <n v="0.10733333333333335"/>
    <n v="107.33333333333336"/>
  </r>
  <r>
    <x v="1"/>
    <x v="0"/>
    <x v="3"/>
    <x v="5"/>
    <x v="6"/>
    <n v="25000"/>
    <n v="2.5"/>
    <m/>
    <n v="800"/>
    <n v="78.125"/>
    <n v="2515.625"/>
    <n v="0.10062500000000001"/>
    <n v="100.625"/>
  </r>
  <r>
    <x v="1"/>
    <x v="0"/>
    <x v="4"/>
    <x v="0"/>
    <x v="0"/>
    <n v="500"/>
    <n v="3.5"/>
    <n v="2.5"/>
    <m/>
    <n v="8.75"/>
    <n v="281.75"/>
    <n v="0.5635"/>
    <n v="563.5"/>
  </r>
  <r>
    <x v="1"/>
    <x v="0"/>
    <x v="4"/>
    <x v="0"/>
    <x v="1"/>
    <n v="1000"/>
    <n v="3.5"/>
    <n v="3"/>
    <m/>
    <n v="10.5"/>
    <n v="338.1"/>
    <n v="0.33810000000000001"/>
    <n v="338.1"/>
  </r>
  <r>
    <x v="1"/>
    <x v="0"/>
    <x v="4"/>
    <x v="0"/>
    <x v="2"/>
    <n v="2500"/>
    <n v="3.5"/>
    <m/>
    <n v="400"/>
    <n v="21.875"/>
    <n v="704.37500000000011"/>
    <n v="0.28175000000000006"/>
    <n v="281.75000000000006"/>
  </r>
  <r>
    <x v="1"/>
    <x v="0"/>
    <x v="4"/>
    <x v="0"/>
    <x v="3"/>
    <n v="5000"/>
    <n v="3.5"/>
    <m/>
    <n v="500"/>
    <n v="35"/>
    <n v="1127"/>
    <n v="0.22539999999999999"/>
    <n v="225.39999999999998"/>
  </r>
  <r>
    <x v="1"/>
    <x v="0"/>
    <x v="4"/>
    <x v="0"/>
    <x v="6"/>
    <n v="25000"/>
    <n v="3.5"/>
    <m/>
    <n v="550"/>
    <n v="159.09090909090909"/>
    <n v="5122.727272727273"/>
    <n v="0.20490909090909093"/>
    <n v="204.90909090909093"/>
  </r>
  <r>
    <x v="1"/>
    <x v="0"/>
    <x v="4"/>
    <x v="2"/>
    <x v="0"/>
    <n v="500"/>
    <n v="3.5"/>
    <n v="1.5"/>
    <m/>
    <n v="5.25"/>
    <n v="169.05"/>
    <n v="0.33810000000000001"/>
    <n v="338.1"/>
  </r>
  <r>
    <x v="1"/>
    <x v="0"/>
    <x v="4"/>
    <x v="2"/>
    <x v="1"/>
    <n v="1000"/>
    <n v="3.5"/>
    <n v="2"/>
    <m/>
    <n v="7"/>
    <n v="225.40000000000003"/>
    <n v="0.22540000000000004"/>
    <n v="225.40000000000003"/>
  </r>
  <r>
    <x v="1"/>
    <x v="0"/>
    <x v="4"/>
    <x v="2"/>
    <x v="2"/>
    <n v="2500"/>
    <n v="3.5"/>
    <m/>
    <n v="550"/>
    <n v="15.90909090909091"/>
    <n v="512.27272727272737"/>
    <n v="0.20490909090909096"/>
    <n v="204.90909090909096"/>
  </r>
  <r>
    <x v="1"/>
    <x v="0"/>
    <x v="4"/>
    <x v="2"/>
    <x v="3"/>
    <n v="5000"/>
    <n v="3.5"/>
    <m/>
    <n v="600"/>
    <n v="29.166666666666668"/>
    <n v="939.16666666666674"/>
    <n v="0.18783333333333335"/>
    <n v="187.83333333333334"/>
  </r>
  <r>
    <x v="1"/>
    <x v="0"/>
    <x v="4"/>
    <x v="2"/>
    <x v="6"/>
    <n v="25000"/>
    <n v="3.5"/>
    <m/>
    <n v="650"/>
    <n v="134.61538461538461"/>
    <n v="4334.6153846153848"/>
    <n v="0.17338461538461539"/>
    <n v="173.38461538461539"/>
  </r>
  <r>
    <x v="1"/>
    <x v="0"/>
    <x v="4"/>
    <x v="3"/>
    <x v="0"/>
    <n v="500"/>
    <n v="4.5"/>
    <n v="2.5"/>
    <m/>
    <n v="11.25"/>
    <n v="362.25000000000006"/>
    <n v="0.72450000000000014"/>
    <n v="724.50000000000011"/>
  </r>
  <r>
    <x v="1"/>
    <x v="0"/>
    <x v="4"/>
    <x v="3"/>
    <x v="1"/>
    <n v="1000"/>
    <n v="4.5"/>
    <n v="3"/>
    <m/>
    <n v="13.5"/>
    <n v="434.70000000000005"/>
    <n v="0.43470000000000003"/>
    <n v="434.70000000000005"/>
  </r>
  <r>
    <x v="1"/>
    <x v="0"/>
    <x v="4"/>
    <x v="3"/>
    <x v="2"/>
    <n v="2500"/>
    <n v="4.5"/>
    <m/>
    <n v="400"/>
    <n v="28.125"/>
    <n v="905.62500000000011"/>
    <n v="0.36225000000000007"/>
    <n v="362.25000000000006"/>
  </r>
  <r>
    <x v="1"/>
    <x v="0"/>
    <x v="4"/>
    <x v="3"/>
    <x v="3"/>
    <n v="5000"/>
    <n v="4.5"/>
    <m/>
    <n v="500"/>
    <n v="45"/>
    <n v="1449.0000000000002"/>
    <n v="0.28980000000000006"/>
    <n v="289.80000000000007"/>
  </r>
  <r>
    <x v="1"/>
    <x v="0"/>
    <x v="4"/>
    <x v="3"/>
    <x v="6"/>
    <n v="25000"/>
    <n v="4.5"/>
    <m/>
    <n v="550"/>
    <n v="204.54545454545453"/>
    <n v="6586.3636363636369"/>
    <n v="0.2634545454545455"/>
    <n v="263.4545454545455"/>
  </r>
  <r>
    <x v="1"/>
    <x v="0"/>
    <x v="4"/>
    <x v="4"/>
    <x v="0"/>
    <n v="500"/>
    <n v="1.5"/>
    <n v="1.5"/>
    <m/>
    <n v="2.25"/>
    <n v="72.45"/>
    <n v="0.1449"/>
    <n v="144.9"/>
  </r>
  <r>
    <x v="1"/>
    <x v="0"/>
    <x v="4"/>
    <x v="4"/>
    <x v="1"/>
    <n v="1000"/>
    <n v="1.5"/>
    <n v="2"/>
    <m/>
    <n v="3"/>
    <n v="96.600000000000009"/>
    <n v="9.6600000000000005E-2"/>
    <n v="96.600000000000009"/>
  </r>
  <r>
    <x v="1"/>
    <x v="0"/>
    <x v="4"/>
    <x v="4"/>
    <x v="2"/>
    <n v="2500"/>
    <n v="1.5"/>
    <m/>
    <n v="650"/>
    <n v="5.7692307692307692"/>
    <n v="185.76923076923077"/>
    <n v="7.4307692307692311E-2"/>
    <n v="74.307692307692307"/>
  </r>
  <r>
    <x v="1"/>
    <x v="0"/>
    <x v="4"/>
    <x v="4"/>
    <x v="3"/>
    <n v="5000"/>
    <n v="1.5"/>
    <m/>
    <n v="750"/>
    <n v="10"/>
    <n v="322"/>
    <n v="6.4399999999999999E-2"/>
    <n v="64.400000000000006"/>
  </r>
  <r>
    <x v="1"/>
    <x v="0"/>
    <x v="4"/>
    <x v="4"/>
    <x v="6"/>
    <n v="25000"/>
    <n v="1.5"/>
    <m/>
    <n v="800"/>
    <n v="46.875"/>
    <n v="1509.3750000000002"/>
    <n v="6.0375000000000012E-2"/>
    <n v="60.375000000000014"/>
  </r>
  <r>
    <x v="1"/>
    <x v="0"/>
    <x v="4"/>
    <x v="5"/>
    <x v="0"/>
    <n v="500"/>
    <n v="2.5"/>
    <n v="1.5"/>
    <m/>
    <n v="3.75"/>
    <n v="120.75000000000001"/>
    <n v="0.24150000000000002"/>
    <n v="241.50000000000003"/>
  </r>
  <r>
    <x v="1"/>
    <x v="0"/>
    <x v="4"/>
    <x v="5"/>
    <x v="1"/>
    <n v="1000"/>
    <n v="2.5"/>
    <n v="2"/>
    <m/>
    <n v="5"/>
    <n v="161"/>
    <n v="0.161"/>
    <n v="161"/>
  </r>
  <r>
    <x v="1"/>
    <x v="0"/>
    <x v="4"/>
    <x v="5"/>
    <x v="2"/>
    <n v="2500"/>
    <n v="2.5"/>
    <m/>
    <n v="650"/>
    <n v="9.615384615384615"/>
    <n v="309.61538461538464"/>
    <n v="0.12384615384615386"/>
    <n v="123.84615384615385"/>
  </r>
  <r>
    <x v="1"/>
    <x v="0"/>
    <x v="4"/>
    <x v="5"/>
    <x v="3"/>
    <n v="5000"/>
    <n v="2.5"/>
    <m/>
    <n v="750"/>
    <n v="16.666666666666668"/>
    <n v="536.66666666666674"/>
    <n v="0.10733333333333335"/>
    <n v="107.33333333333336"/>
  </r>
  <r>
    <x v="1"/>
    <x v="0"/>
    <x v="4"/>
    <x v="5"/>
    <x v="6"/>
    <n v="25000"/>
    <n v="2.5"/>
    <m/>
    <n v="800"/>
    <n v="78.125"/>
    <n v="2515.625"/>
    <n v="0.10062500000000001"/>
    <n v="100.625"/>
  </r>
  <r>
    <x v="1"/>
    <x v="0"/>
    <x v="5"/>
    <x v="0"/>
    <x v="0"/>
    <n v="500"/>
    <n v="3.5"/>
    <n v="2.5"/>
    <m/>
    <n v="8.75"/>
    <n v="281.75"/>
    <n v="0.5635"/>
    <n v="563.5"/>
  </r>
  <r>
    <x v="1"/>
    <x v="0"/>
    <x v="5"/>
    <x v="0"/>
    <x v="1"/>
    <n v="1000"/>
    <n v="3.5"/>
    <n v="3"/>
    <m/>
    <n v="10.5"/>
    <n v="338.1"/>
    <n v="0.33810000000000001"/>
    <n v="338.1"/>
  </r>
  <r>
    <x v="1"/>
    <x v="0"/>
    <x v="5"/>
    <x v="0"/>
    <x v="2"/>
    <n v="2500"/>
    <n v="3.5"/>
    <m/>
    <n v="400"/>
    <n v="21.875"/>
    <n v="704.37500000000011"/>
    <n v="0.28175000000000006"/>
    <n v="281.75000000000006"/>
  </r>
  <r>
    <x v="1"/>
    <x v="0"/>
    <x v="5"/>
    <x v="0"/>
    <x v="3"/>
    <n v="5000"/>
    <n v="3.5"/>
    <m/>
    <n v="500"/>
    <n v="35"/>
    <n v="1127"/>
    <n v="0.22539999999999999"/>
    <n v="225.39999999999998"/>
  </r>
  <r>
    <x v="1"/>
    <x v="0"/>
    <x v="5"/>
    <x v="0"/>
    <x v="6"/>
    <n v="25000"/>
    <n v="3.5"/>
    <m/>
    <n v="550"/>
    <n v="159.09090909090909"/>
    <n v="5122.727272727273"/>
    <n v="0.20490909090909093"/>
    <n v="204.90909090909093"/>
  </r>
  <r>
    <x v="1"/>
    <x v="0"/>
    <x v="5"/>
    <x v="2"/>
    <x v="0"/>
    <n v="500"/>
    <n v="3.5"/>
    <n v="1.5"/>
    <m/>
    <n v="5.25"/>
    <n v="169.05"/>
    <n v="0.33810000000000001"/>
    <n v="338.1"/>
  </r>
  <r>
    <x v="1"/>
    <x v="0"/>
    <x v="5"/>
    <x v="2"/>
    <x v="1"/>
    <n v="1000"/>
    <n v="3.5"/>
    <n v="2"/>
    <m/>
    <n v="7"/>
    <n v="225.40000000000003"/>
    <n v="0.22540000000000004"/>
    <n v="225.40000000000003"/>
  </r>
  <r>
    <x v="1"/>
    <x v="0"/>
    <x v="5"/>
    <x v="2"/>
    <x v="2"/>
    <n v="2500"/>
    <n v="3.5"/>
    <m/>
    <n v="550"/>
    <n v="15.90909090909091"/>
    <n v="512.27272727272737"/>
    <n v="0.20490909090909096"/>
    <n v="204.90909090909096"/>
  </r>
  <r>
    <x v="1"/>
    <x v="0"/>
    <x v="5"/>
    <x v="2"/>
    <x v="3"/>
    <n v="5000"/>
    <n v="3.5"/>
    <m/>
    <n v="600"/>
    <n v="29.166666666666668"/>
    <n v="939.16666666666674"/>
    <n v="0.18783333333333335"/>
    <n v="187.83333333333334"/>
  </r>
  <r>
    <x v="1"/>
    <x v="0"/>
    <x v="5"/>
    <x v="2"/>
    <x v="6"/>
    <n v="25000"/>
    <n v="3.5"/>
    <m/>
    <n v="650"/>
    <n v="134.61538461538461"/>
    <n v="4334.6153846153848"/>
    <n v="0.17338461538461539"/>
    <n v="173.38461538461539"/>
  </r>
  <r>
    <x v="1"/>
    <x v="0"/>
    <x v="5"/>
    <x v="3"/>
    <x v="0"/>
    <n v="500"/>
    <n v="4.5"/>
    <n v="2.5"/>
    <m/>
    <n v="11.25"/>
    <n v="362.25000000000006"/>
    <n v="0.72450000000000014"/>
    <n v="724.50000000000011"/>
  </r>
  <r>
    <x v="1"/>
    <x v="0"/>
    <x v="5"/>
    <x v="3"/>
    <x v="1"/>
    <n v="1000"/>
    <n v="4.5"/>
    <n v="3"/>
    <m/>
    <n v="13.5"/>
    <n v="434.70000000000005"/>
    <n v="0.43470000000000003"/>
    <n v="434.70000000000005"/>
  </r>
  <r>
    <x v="1"/>
    <x v="0"/>
    <x v="5"/>
    <x v="3"/>
    <x v="2"/>
    <n v="2500"/>
    <n v="4.5"/>
    <m/>
    <n v="400"/>
    <n v="28.125"/>
    <n v="905.62500000000011"/>
    <n v="0.36225000000000007"/>
    <n v="362.25000000000006"/>
  </r>
  <r>
    <x v="1"/>
    <x v="0"/>
    <x v="5"/>
    <x v="3"/>
    <x v="3"/>
    <n v="5000"/>
    <n v="4.5"/>
    <m/>
    <n v="500"/>
    <n v="45"/>
    <n v="1449.0000000000002"/>
    <n v="0.28980000000000006"/>
    <n v="289.80000000000007"/>
  </r>
  <r>
    <x v="1"/>
    <x v="0"/>
    <x v="5"/>
    <x v="3"/>
    <x v="6"/>
    <n v="25000"/>
    <n v="4.5"/>
    <m/>
    <n v="550"/>
    <n v="204.54545454545453"/>
    <n v="6586.3636363636369"/>
    <n v="0.2634545454545455"/>
    <n v="263.4545454545455"/>
  </r>
  <r>
    <x v="1"/>
    <x v="0"/>
    <x v="5"/>
    <x v="4"/>
    <x v="0"/>
    <n v="500"/>
    <n v="1.5"/>
    <n v="1.5"/>
    <m/>
    <n v="2.25"/>
    <n v="72.45"/>
    <n v="0.1449"/>
    <n v="144.9"/>
  </r>
  <r>
    <x v="1"/>
    <x v="0"/>
    <x v="5"/>
    <x v="4"/>
    <x v="1"/>
    <n v="1000"/>
    <n v="1.5"/>
    <n v="2"/>
    <m/>
    <n v="3"/>
    <n v="96.600000000000009"/>
    <n v="9.6600000000000005E-2"/>
    <n v="96.600000000000009"/>
  </r>
  <r>
    <x v="1"/>
    <x v="0"/>
    <x v="5"/>
    <x v="4"/>
    <x v="2"/>
    <n v="2500"/>
    <n v="1.5"/>
    <m/>
    <n v="650"/>
    <n v="5.7692307692307692"/>
    <n v="185.76923076923077"/>
    <n v="7.4307692307692311E-2"/>
    <n v="74.307692307692307"/>
  </r>
  <r>
    <x v="1"/>
    <x v="0"/>
    <x v="5"/>
    <x v="4"/>
    <x v="3"/>
    <n v="5000"/>
    <n v="1.5"/>
    <m/>
    <n v="750"/>
    <n v="10"/>
    <n v="322"/>
    <n v="6.4399999999999999E-2"/>
    <n v="64.400000000000006"/>
  </r>
  <r>
    <x v="1"/>
    <x v="0"/>
    <x v="5"/>
    <x v="4"/>
    <x v="6"/>
    <n v="25000"/>
    <n v="1.5"/>
    <m/>
    <n v="800"/>
    <n v="46.875"/>
    <n v="1509.3750000000002"/>
    <n v="6.0375000000000012E-2"/>
    <n v="60.375000000000014"/>
  </r>
  <r>
    <x v="1"/>
    <x v="0"/>
    <x v="5"/>
    <x v="5"/>
    <x v="0"/>
    <n v="500"/>
    <n v="2.5"/>
    <n v="1.5"/>
    <m/>
    <n v="3.75"/>
    <n v="120.75000000000001"/>
    <n v="0.24150000000000002"/>
    <n v="241.50000000000003"/>
  </r>
  <r>
    <x v="1"/>
    <x v="0"/>
    <x v="5"/>
    <x v="5"/>
    <x v="1"/>
    <n v="1000"/>
    <n v="2.5"/>
    <n v="2"/>
    <m/>
    <n v="5"/>
    <n v="161"/>
    <n v="0.161"/>
    <n v="161"/>
  </r>
  <r>
    <x v="1"/>
    <x v="0"/>
    <x v="5"/>
    <x v="5"/>
    <x v="2"/>
    <n v="2500"/>
    <n v="2.5"/>
    <m/>
    <n v="650"/>
    <n v="9.615384615384615"/>
    <n v="309.61538461538464"/>
    <n v="0.12384615384615386"/>
    <n v="123.84615384615385"/>
  </r>
  <r>
    <x v="1"/>
    <x v="0"/>
    <x v="5"/>
    <x v="5"/>
    <x v="3"/>
    <n v="5000"/>
    <n v="2.5"/>
    <m/>
    <n v="750"/>
    <n v="16.666666666666668"/>
    <n v="536.66666666666674"/>
    <n v="0.10733333333333335"/>
    <n v="107.33333333333336"/>
  </r>
  <r>
    <x v="1"/>
    <x v="0"/>
    <x v="5"/>
    <x v="5"/>
    <x v="6"/>
    <n v="25000"/>
    <n v="2.5"/>
    <m/>
    <n v="800"/>
    <n v="78.125"/>
    <n v="2515.625"/>
    <n v="0.10062500000000001"/>
    <n v="100.625"/>
  </r>
  <r>
    <x v="0"/>
    <x v="1"/>
    <x v="0"/>
    <x v="0"/>
    <x v="0"/>
    <n v="500"/>
    <n v="4.5"/>
    <n v="2.5"/>
    <m/>
    <n v="11.25"/>
    <n v="362.25000000000006"/>
    <n v="0.72450000000000014"/>
    <n v="724.50000000000011"/>
  </r>
  <r>
    <x v="0"/>
    <x v="1"/>
    <x v="0"/>
    <x v="0"/>
    <x v="1"/>
    <n v="1000"/>
    <n v="4.5"/>
    <n v="3"/>
    <m/>
    <n v="13.5"/>
    <n v="434.70000000000005"/>
    <n v="0.43470000000000003"/>
    <n v="434.70000000000005"/>
  </r>
  <r>
    <x v="0"/>
    <x v="1"/>
    <x v="0"/>
    <x v="0"/>
    <x v="2"/>
    <n v="2500"/>
    <n v="4.5"/>
    <m/>
    <n v="425"/>
    <n v="26.47058823529412"/>
    <n v="852.35294117647072"/>
    <n v="0.3409411764705883"/>
    <n v="340.94117647058829"/>
  </r>
  <r>
    <x v="0"/>
    <x v="1"/>
    <x v="0"/>
    <x v="0"/>
    <x v="3"/>
    <n v="5000"/>
    <n v="4.5"/>
    <m/>
    <n v="450"/>
    <n v="50"/>
    <n v="1610.0000000000002"/>
    <n v="0.32200000000000006"/>
    <n v="322.00000000000006"/>
  </r>
  <r>
    <x v="0"/>
    <x v="1"/>
    <x v="0"/>
    <x v="0"/>
    <x v="7"/>
    <n v="10000"/>
    <n v="4.5"/>
    <m/>
    <n v="500"/>
    <n v="90"/>
    <n v="2898.0000000000005"/>
    <n v="0.28980000000000006"/>
    <n v="289.80000000000007"/>
  </r>
  <r>
    <x v="0"/>
    <x v="1"/>
    <x v="0"/>
    <x v="0"/>
    <x v="8"/>
    <n v="25000"/>
    <n v="5.5"/>
    <m/>
    <n v="1200"/>
    <n v="114.58333333333333"/>
    <n v="3689.5833333333335"/>
    <n v="0.14758333333333334"/>
    <n v="147.58333333333334"/>
  </r>
  <r>
    <x v="0"/>
    <x v="1"/>
    <x v="0"/>
    <x v="8"/>
    <x v="0"/>
    <n v="500"/>
    <n v="4.5"/>
    <n v="1.5"/>
    <m/>
    <n v="6.75"/>
    <n v="217.35000000000002"/>
    <n v="0.43470000000000003"/>
    <n v="434.70000000000005"/>
  </r>
  <r>
    <x v="0"/>
    <x v="1"/>
    <x v="0"/>
    <x v="8"/>
    <x v="1"/>
    <n v="1000"/>
    <n v="4.5"/>
    <n v="2"/>
    <m/>
    <n v="9"/>
    <n v="289.8"/>
    <n v="0.2898"/>
    <n v="289.8"/>
  </r>
  <r>
    <x v="0"/>
    <x v="1"/>
    <x v="0"/>
    <x v="8"/>
    <x v="2"/>
    <n v="2500"/>
    <n v="4.5"/>
    <m/>
    <n v="550"/>
    <n v="20.454545454545457"/>
    <n v="658.63636363636374"/>
    <n v="0.2634545454545455"/>
    <n v="263.4545454545455"/>
  </r>
  <r>
    <x v="0"/>
    <x v="1"/>
    <x v="0"/>
    <x v="8"/>
    <x v="3"/>
    <n v="5000"/>
    <n v="4.5"/>
    <m/>
    <n v="575"/>
    <n v="39.130434782608695"/>
    <n v="1260"/>
    <n v="0.252"/>
    <n v="252"/>
  </r>
  <r>
    <x v="0"/>
    <x v="1"/>
    <x v="0"/>
    <x v="8"/>
    <x v="7"/>
    <n v="10000"/>
    <n v="4.5"/>
    <m/>
    <n v="600"/>
    <n v="75"/>
    <n v="2415"/>
    <n v="0.24149999999999999"/>
    <n v="241.5"/>
  </r>
  <r>
    <x v="0"/>
    <x v="1"/>
    <x v="0"/>
    <x v="8"/>
    <x v="8"/>
    <n v="25000"/>
    <n v="4.5"/>
    <m/>
    <n v="625"/>
    <n v="180"/>
    <n v="5796.0000000000009"/>
    <n v="0.23184000000000005"/>
    <n v="231.84000000000003"/>
  </r>
  <r>
    <x v="0"/>
    <x v="1"/>
    <x v="0"/>
    <x v="9"/>
    <x v="0"/>
    <n v="500"/>
    <n v="3.5"/>
    <n v="1.5"/>
    <m/>
    <n v="5.25"/>
    <n v="169.05"/>
    <n v="0.33810000000000001"/>
    <n v="338.1"/>
  </r>
  <r>
    <x v="0"/>
    <x v="1"/>
    <x v="0"/>
    <x v="9"/>
    <x v="1"/>
    <n v="1000"/>
    <n v="3.5"/>
    <n v="2"/>
    <m/>
    <n v="7"/>
    <n v="225.40000000000003"/>
    <n v="0.22540000000000004"/>
    <n v="225.40000000000003"/>
  </r>
  <r>
    <x v="0"/>
    <x v="1"/>
    <x v="0"/>
    <x v="9"/>
    <x v="2"/>
    <n v="2500"/>
    <n v="3.5"/>
    <m/>
    <n v="550"/>
    <n v="15.90909090909091"/>
    <n v="512.27272727272737"/>
    <n v="0.20490909090909096"/>
    <n v="204.90909090909096"/>
  </r>
  <r>
    <x v="0"/>
    <x v="1"/>
    <x v="0"/>
    <x v="9"/>
    <x v="3"/>
    <n v="5000"/>
    <n v="3.5"/>
    <m/>
    <n v="575"/>
    <n v="30.434782608695649"/>
    <n v="980"/>
    <n v="0.19600000000000001"/>
    <n v="196"/>
  </r>
  <r>
    <x v="0"/>
    <x v="1"/>
    <x v="0"/>
    <x v="9"/>
    <x v="7"/>
    <n v="10000"/>
    <n v="3.5"/>
    <m/>
    <n v="600"/>
    <n v="58.333333333333336"/>
    <n v="1878.3333333333335"/>
    <n v="0.18783333333333335"/>
    <n v="187.83333333333334"/>
  </r>
  <r>
    <x v="0"/>
    <x v="1"/>
    <x v="0"/>
    <x v="9"/>
    <x v="8"/>
    <n v="25000"/>
    <n v="3.5"/>
    <m/>
    <n v="625"/>
    <n v="140"/>
    <n v="4508"/>
    <n v="0.18032000000000001"/>
    <n v="180.32000000000002"/>
  </r>
  <r>
    <x v="0"/>
    <x v="1"/>
    <x v="0"/>
    <x v="3"/>
    <x v="0"/>
    <n v="500"/>
    <n v="5.5"/>
    <n v="2.5"/>
    <m/>
    <n v="13.75"/>
    <n v="442.75000000000006"/>
    <n v="0.88550000000000006"/>
    <n v="885.50000000000011"/>
  </r>
  <r>
    <x v="0"/>
    <x v="1"/>
    <x v="0"/>
    <x v="3"/>
    <x v="1"/>
    <n v="1000"/>
    <n v="5.5"/>
    <n v="3"/>
    <m/>
    <n v="16.5"/>
    <n v="531.30000000000007"/>
    <n v="0.53130000000000011"/>
    <n v="531.30000000000007"/>
  </r>
  <r>
    <x v="0"/>
    <x v="1"/>
    <x v="0"/>
    <x v="3"/>
    <x v="2"/>
    <n v="2500"/>
    <n v="5.5"/>
    <m/>
    <n v="425"/>
    <n v="32.352941176470594"/>
    <n v="1041.7647058823532"/>
    <n v="0.41670588235294126"/>
    <n v="416.70588235294127"/>
  </r>
  <r>
    <x v="0"/>
    <x v="1"/>
    <x v="0"/>
    <x v="3"/>
    <x v="3"/>
    <n v="5000"/>
    <n v="5.5"/>
    <m/>
    <n v="450"/>
    <n v="61.111111111111107"/>
    <n v="1967.7777777777778"/>
    <n v="0.39355555555555555"/>
    <n v="393.55555555555554"/>
  </r>
  <r>
    <x v="0"/>
    <x v="1"/>
    <x v="0"/>
    <x v="3"/>
    <x v="6"/>
    <n v="10000"/>
    <n v="5.5"/>
    <m/>
    <n v="500"/>
    <n v="110"/>
    <n v="3542.0000000000005"/>
    <n v="0.35420000000000007"/>
    <n v="354.20000000000005"/>
  </r>
  <r>
    <x v="0"/>
    <x v="1"/>
    <x v="0"/>
    <x v="4"/>
    <x v="0"/>
    <n v="500"/>
    <n v="1.5"/>
    <n v="1.5"/>
    <m/>
    <n v="2.25"/>
    <n v="72.45"/>
    <n v="0.1449"/>
    <n v="144.9"/>
  </r>
  <r>
    <x v="0"/>
    <x v="1"/>
    <x v="0"/>
    <x v="4"/>
    <x v="1"/>
    <n v="1000"/>
    <n v="1.5"/>
    <n v="1.5"/>
    <m/>
    <n v="2.25"/>
    <n v="72.45"/>
    <n v="7.2450000000000001E-2"/>
    <n v="72.45"/>
  </r>
  <r>
    <x v="0"/>
    <x v="1"/>
    <x v="0"/>
    <x v="4"/>
    <x v="2"/>
    <n v="2500"/>
    <n v="1.5"/>
    <m/>
    <n v="800"/>
    <n v="4.6875"/>
    <n v="150.9375"/>
    <n v="6.0374999999999998E-2"/>
    <n v="60.375"/>
  </r>
  <r>
    <x v="0"/>
    <x v="1"/>
    <x v="0"/>
    <x v="4"/>
    <x v="3"/>
    <n v="5000"/>
    <n v="1.5"/>
    <m/>
    <n v="900"/>
    <n v="8.3333333333333321"/>
    <n v="268.33333333333331"/>
    <n v="5.3666666666666661E-2"/>
    <n v="53.666666666666664"/>
  </r>
  <r>
    <x v="0"/>
    <x v="1"/>
    <x v="0"/>
    <x v="4"/>
    <x v="6"/>
    <n v="25000"/>
    <n v="1.5"/>
    <m/>
    <n v="1100"/>
    <n v="34.090909090909093"/>
    <n v="1097.727272727273"/>
    <n v="4.3909090909090918E-2"/>
    <n v="43.909090909090921"/>
  </r>
  <r>
    <x v="0"/>
    <x v="1"/>
    <x v="0"/>
    <x v="5"/>
    <x v="0"/>
    <n v="500"/>
    <n v="2.5"/>
    <n v="1.5"/>
    <m/>
    <n v="3.75"/>
    <n v="120.75000000000001"/>
    <n v="0.24150000000000002"/>
    <n v="241.50000000000003"/>
  </r>
  <r>
    <x v="0"/>
    <x v="1"/>
    <x v="0"/>
    <x v="5"/>
    <x v="1"/>
    <n v="1000"/>
    <n v="2.5"/>
    <n v="1.5"/>
    <m/>
    <n v="3.75"/>
    <n v="120.75000000000001"/>
    <n v="0.12075000000000001"/>
    <n v="120.75000000000001"/>
  </r>
  <r>
    <x v="0"/>
    <x v="1"/>
    <x v="0"/>
    <x v="5"/>
    <x v="2"/>
    <n v="2500"/>
    <n v="2.5"/>
    <m/>
    <n v="800"/>
    <n v="7.8125"/>
    <n v="251.56250000000003"/>
    <n v="0.10062500000000001"/>
    <n v="100.625"/>
  </r>
  <r>
    <x v="0"/>
    <x v="1"/>
    <x v="0"/>
    <x v="5"/>
    <x v="3"/>
    <n v="5000"/>
    <n v="2.5"/>
    <m/>
    <n v="900"/>
    <n v="13.888888888888889"/>
    <n v="447.22222222222229"/>
    <n v="8.9444444444444451E-2"/>
    <n v="89.444444444444457"/>
  </r>
  <r>
    <x v="0"/>
    <x v="1"/>
    <x v="0"/>
    <x v="5"/>
    <x v="6"/>
    <n v="25000"/>
    <n v="2.5"/>
    <m/>
    <n v="1100"/>
    <n v="56.818181818181813"/>
    <n v="1829.5454545454545"/>
    <n v="7.3181818181818181E-2"/>
    <n v="73.181818181818187"/>
  </r>
  <r>
    <x v="0"/>
    <x v="1"/>
    <x v="0"/>
    <x v="6"/>
    <x v="0"/>
    <n v="500"/>
    <n v="1.5"/>
    <n v="1.5"/>
    <m/>
    <n v="2.25"/>
    <n v="72.45"/>
    <n v="0.1449"/>
    <n v="144.9"/>
  </r>
  <r>
    <x v="0"/>
    <x v="1"/>
    <x v="0"/>
    <x v="6"/>
    <x v="1"/>
    <n v="1000"/>
    <n v="1.5"/>
    <n v="2.5"/>
    <m/>
    <n v="3.75"/>
    <n v="120.75000000000001"/>
    <n v="0.12075000000000001"/>
    <n v="120.75000000000001"/>
  </r>
  <r>
    <x v="0"/>
    <x v="1"/>
    <x v="0"/>
    <x v="6"/>
    <x v="2"/>
    <n v="2500"/>
    <n v="1.5"/>
    <m/>
    <n v="600"/>
    <n v="6.25"/>
    <n v="201.25000000000003"/>
    <n v="8.0500000000000016E-2"/>
    <n v="80.500000000000014"/>
  </r>
  <r>
    <x v="0"/>
    <x v="1"/>
    <x v="0"/>
    <x v="6"/>
    <x v="3"/>
    <n v="5000"/>
    <n v="1.5"/>
    <m/>
    <n v="700"/>
    <n v="10.714285714285715"/>
    <n v="345.00000000000006"/>
    <n v="6.9000000000000006E-2"/>
    <n v="69"/>
  </r>
  <r>
    <x v="0"/>
    <x v="1"/>
    <x v="0"/>
    <x v="6"/>
    <x v="6"/>
    <n v="25000"/>
    <n v="1.5"/>
    <m/>
    <n v="1000"/>
    <n v="37.5"/>
    <n v="1207.5"/>
    <n v="4.8300000000000003E-2"/>
    <n v="48.300000000000004"/>
  </r>
  <r>
    <x v="0"/>
    <x v="1"/>
    <x v="0"/>
    <x v="7"/>
    <x v="0"/>
    <n v="500"/>
    <n v="1.5"/>
    <n v="2.5"/>
    <m/>
    <n v="3.75"/>
    <n v="120.75000000000001"/>
    <n v="0.24150000000000002"/>
    <n v="241.50000000000003"/>
  </r>
  <r>
    <x v="0"/>
    <x v="1"/>
    <x v="0"/>
    <x v="7"/>
    <x v="1"/>
    <n v="1000"/>
    <n v="2.5"/>
    <n v="2.5"/>
    <m/>
    <n v="6.25"/>
    <n v="201.25000000000003"/>
    <n v="0.20125000000000004"/>
    <n v="201.25000000000003"/>
  </r>
  <r>
    <x v="0"/>
    <x v="1"/>
    <x v="0"/>
    <x v="7"/>
    <x v="2"/>
    <n v="2500"/>
    <n v="2.5"/>
    <m/>
    <n v="600"/>
    <n v="10.416666666666668"/>
    <n v="335.41666666666674"/>
    <n v="0.13416666666666668"/>
    <n v="134.16666666666669"/>
  </r>
  <r>
    <x v="0"/>
    <x v="1"/>
    <x v="0"/>
    <x v="7"/>
    <x v="3"/>
    <n v="5000"/>
    <n v="2.5"/>
    <m/>
    <n v="700"/>
    <n v="17.857142857142858"/>
    <n v="575.00000000000011"/>
    <n v="0.11500000000000002"/>
    <n v="115.00000000000001"/>
  </r>
  <r>
    <x v="0"/>
    <x v="1"/>
    <x v="0"/>
    <x v="7"/>
    <x v="6"/>
    <n v="25000"/>
    <n v="2.5"/>
    <m/>
    <n v="1000"/>
    <n v="62.5"/>
    <n v="2012.5000000000002"/>
    <n v="8.0500000000000016E-2"/>
    <n v="80.500000000000014"/>
  </r>
  <r>
    <x v="0"/>
    <x v="1"/>
    <x v="1"/>
    <x v="0"/>
    <x v="0"/>
    <n v="500"/>
    <n v="4.5"/>
    <n v="2.5"/>
    <m/>
    <n v="11.25"/>
    <n v="362.25000000000006"/>
    <n v="0.72450000000000014"/>
    <n v="724.50000000000011"/>
  </r>
  <r>
    <x v="0"/>
    <x v="1"/>
    <x v="1"/>
    <x v="0"/>
    <x v="1"/>
    <n v="1000"/>
    <n v="4.5"/>
    <n v="3"/>
    <m/>
    <n v="13.5"/>
    <n v="434.70000000000005"/>
    <n v="0.43470000000000003"/>
    <n v="434.70000000000005"/>
  </r>
  <r>
    <x v="0"/>
    <x v="1"/>
    <x v="1"/>
    <x v="0"/>
    <x v="2"/>
    <n v="2500"/>
    <n v="4.5"/>
    <m/>
    <n v="400"/>
    <n v="28.125"/>
    <n v="905.62500000000011"/>
    <n v="0.36225000000000007"/>
    <n v="362.25000000000006"/>
  </r>
  <r>
    <x v="0"/>
    <x v="1"/>
    <x v="1"/>
    <x v="0"/>
    <x v="3"/>
    <n v="5000"/>
    <n v="4.5"/>
    <m/>
    <n v="425"/>
    <n v="52.941176470588239"/>
    <n v="1704.7058823529414"/>
    <n v="0.3409411764705883"/>
    <n v="340.94117647058829"/>
  </r>
  <r>
    <x v="0"/>
    <x v="1"/>
    <x v="1"/>
    <x v="0"/>
    <x v="7"/>
    <n v="10000"/>
    <n v="4.5"/>
    <m/>
    <n v="450"/>
    <n v="100"/>
    <n v="3220.0000000000005"/>
    <n v="0.32200000000000006"/>
    <n v="322.00000000000006"/>
  </r>
  <r>
    <x v="0"/>
    <x v="1"/>
    <x v="1"/>
    <x v="0"/>
    <x v="8"/>
    <n v="25000"/>
    <n v="5.5"/>
    <m/>
    <n v="1150"/>
    <n v="119.56521739130434"/>
    <n v="3850"/>
    <n v="0.154"/>
    <n v="154"/>
  </r>
  <r>
    <x v="0"/>
    <x v="1"/>
    <x v="1"/>
    <x v="8"/>
    <x v="0"/>
    <n v="500"/>
    <n v="4.5"/>
    <n v="1.5"/>
    <m/>
    <n v="6.75"/>
    <n v="217.35000000000002"/>
    <n v="0.43470000000000003"/>
    <n v="434.70000000000005"/>
  </r>
  <r>
    <x v="0"/>
    <x v="1"/>
    <x v="1"/>
    <x v="8"/>
    <x v="1"/>
    <n v="1000"/>
    <n v="4.5"/>
    <n v="2"/>
    <m/>
    <n v="9"/>
    <n v="289.8"/>
    <n v="0.2898"/>
    <n v="289.8"/>
  </r>
  <r>
    <x v="0"/>
    <x v="1"/>
    <x v="1"/>
    <x v="8"/>
    <x v="2"/>
    <n v="2500"/>
    <n v="4.5"/>
    <m/>
    <n v="450"/>
    <n v="25"/>
    <n v="805.00000000000011"/>
    <n v="0.32200000000000006"/>
    <n v="322.00000000000006"/>
  </r>
  <r>
    <x v="0"/>
    <x v="1"/>
    <x v="1"/>
    <x v="8"/>
    <x v="3"/>
    <n v="5000"/>
    <n v="4.5"/>
    <m/>
    <n v="475"/>
    <n v="47.368421052631582"/>
    <n v="1525.2631578947371"/>
    <n v="0.30505263157894741"/>
    <n v="305.0526315789474"/>
  </r>
  <r>
    <x v="0"/>
    <x v="1"/>
    <x v="1"/>
    <x v="8"/>
    <x v="7"/>
    <n v="10000"/>
    <n v="4.5"/>
    <m/>
    <n v="500"/>
    <n v="90"/>
    <n v="2898.0000000000005"/>
    <n v="0.28980000000000006"/>
    <n v="289.80000000000007"/>
  </r>
  <r>
    <x v="0"/>
    <x v="1"/>
    <x v="1"/>
    <x v="8"/>
    <x v="8"/>
    <n v="25000"/>
    <n v="4.5"/>
    <m/>
    <n v="525"/>
    <n v="214.28571428571428"/>
    <n v="6900"/>
    <n v="0.27600000000000002"/>
    <n v="276"/>
  </r>
  <r>
    <x v="0"/>
    <x v="1"/>
    <x v="1"/>
    <x v="9"/>
    <x v="0"/>
    <n v="500"/>
    <n v="3.5"/>
    <n v="1.5"/>
    <m/>
    <n v="5.25"/>
    <n v="169.05"/>
    <n v="0.33810000000000001"/>
    <n v="338.1"/>
  </r>
  <r>
    <x v="0"/>
    <x v="1"/>
    <x v="1"/>
    <x v="9"/>
    <x v="1"/>
    <n v="1000"/>
    <n v="3.5"/>
    <n v="2"/>
    <m/>
    <n v="7"/>
    <n v="225.40000000000003"/>
    <n v="0.22540000000000004"/>
    <n v="225.40000000000003"/>
  </r>
  <r>
    <x v="0"/>
    <x v="1"/>
    <x v="1"/>
    <x v="9"/>
    <x v="2"/>
    <n v="2500"/>
    <n v="3.5"/>
    <m/>
    <n v="450"/>
    <n v="19.444444444444443"/>
    <n v="626.11111111111109"/>
    <n v="0.25044444444444441"/>
    <n v="250.4444444444444"/>
  </r>
  <r>
    <x v="0"/>
    <x v="1"/>
    <x v="1"/>
    <x v="9"/>
    <x v="3"/>
    <n v="5000"/>
    <n v="3.5"/>
    <m/>
    <n v="475"/>
    <n v="36.842105263157897"/>
    <n v="1186.3157894736844"/>
    <n v="0.23726315789473687"/>
    <n v="237.26315789473688"/>
  </r>
  <r>
    <x v="0"/>
    <x v="1"/>
    <x v="1"/>
    <x v="9"/>
    <x v="7"/>
    <n v="10000"/>
    <n v="3.5"/>
    <m/>
    <n v="500"/>
    <n v="70"/>
    <n v="2254"/>
    <n v="0.22539999999999999"/>
    <n v="225.39999999999998"/>
  </r>
  <r>
    <x v="0"/>
    <x v="1"/>
    <x v="1"/>
    <x v="9"/>
    <x v="8"/>
    <n v="25000"/>
    <n v="3.5"/>
    <m/>
    <n v="525"/>
    <n v="166.66666666666669"/>
    <n v="5366.6666666666679"/>
    <n v="0.21466666666666673"/>
    <n v="214.66666666666671"/>
  </r>
  <r>
    <x v="0"/>
    <x v="1"/>
    <x v="1"/>
    <x v="3"/>
    <x v="0"/>
    <n v="500"/>
    <n v="5.5"/>
    <n v="2.5"/>
    <m/>
    <n v="13.75"/>
    <n v="442.75000000000006"/>
    <n v="0.88550000000000006"/>
    <n v="885.50000000000011"/>
  </r>
  <r>
    <x v="0"/>
    <x v="1"/>
    <x v="1"/>
    <x v="3"/>
    <x v="1"/>
    <n v="1000"/>
    <n v="5.5"/>
    <n v="3"/>
    <m/>
    <n v="16.5"/>
    <n v="531.30000000000007"/>
    <n v="0.53130000000000011"/>
    <n v="531.30000000000007"/>
  </r>
  <r>
    <x v="0"/>
    <x v="1"/>
    <x v="1"/>
    <x v="3"/>
    <x v="2"/>
    <n v="2500"/>
    <n v="5.5"/>
    <m/>
    <n v="400"/>
    <n v="34.375"/>
    <n v="1106.875"/>
    <n v="0.44274999999999998"/>
    <n v="442.75"/>
  </r>
  <r>
    <x v="0"/>
    <x v="1"/>
    <x v="1"/>
    <x v="3"/>
    <x v="3"/>
    <n v="5000"/>
    <n v="5.5"/>
    <m/>
    <n v="425"/>
    <n v="64.705882352941188"/>
    <n v="2083.5294117647063"/>
    <n v="0.41670588235294126"/>
    <n v="416.70588235294127"/>
  </r>
  <r>
    <x v="0"/>
    <x v="1"/>
    <x v="1"/>
    <x v="3"/>
    <x v="6"/>
    <n v="10000"/>
    <n v="5.5"/>
    <m/>
    <n v="450"/>
    <n v="122.22222222222221"/>
    <n v="3935.5555555555557"/>
    <n v="0.39355555555555555"/>
    <n v="393.55555555555554"/>
  </r>
  <r>
    <x v="0"/>
    <x v="1"/>
    <x v="1"/>
    <x v="4"/>
    <x v="0"/>
    <n v="500"/>
    <n v="1.5"/>
    <n v="1.5"/>
    <m/>
    <n v="2.25"/>
    <n v="72.45"/>
    <n v="0.1449"/>
    <n v="144.9"/>
  </r>
  <r>
    <x v="0"/>
    <x v="1"/>
    <x v="1"/>
    <x v="4"/>
    <x v="1"/>
    <n v="1000"/>
    <n v="1.5"/>
    <n v="1.5"/>
    <m/>
    <n v="2.25"/>
    <n v="72.45"/>
    <n v="7.2450000000000001E-2"/>
    <n v="72.45"/>
  </r>
  <r>
    <x v="0"/>
    <x v="1"/>
    <x v="1"/>
    <x v="4"/>
    <x v="2"/>
    <n v="2500"/>
    <n v="1.5"/>
    <m/>
    <n v="800"/>
    <n v="4.6875"/>
    <n v="150.9375"/>
    <n v="6.0374999999999998E-2"/>
    <n v="60.375"/>
  </r>
  <r>
    <x v="0"/>
    <x v="1"/>
    <x v="1"/>
    <x v="4"/>
    <x v="3"/>
    <n v="5000"/>
    <n v="1.5"/>
    <m/>
    <n v="900"/>
    <n v="8.3333333333333321"/>
    <n v="268.33333333333331"/>
    <n v="5.3666666666666661E-2"/>
    <n v="53.666666666666664"/>
  </r>
  <r>
    <x v="0"/>
    <x v="1"/>
    <x v="1"/>
    <x v="4"/>
    <x v="6"/>
    <n v="25000"/>
    <n v="1.5"/>
    <m/>
    <n v="1100"/>
    <n v="34.090909090909093"/>
    <n v="1097.727272727273"/>
    <n v="4.3909090909090918E-2"/>
    <n v="43.909090909090921"/>
  </r>
  <r>
    <x v="0"/>
    <x v="1"/>
    <x v="1"/>
    <x v="5"/>
    <x v="0"/>
    <n v="500"/>
    <n v="2.5"/>
    <n v="1.5"/>
    <m/>
    <n v="3.75"/>
    <n v="120.75000000000001"/>
    <n v="0.24150000000000002"/>
    <n v="241.50000000000003"/>
  </r>
  <r>
    <x v="0"/>
    <x v="1"/>
    <x v="1"/>
    <x v="5"/>
    <x v="1"/>
    <n v="1000"/>
    <n v="2.5"/>
    <n v="1.5"/>
    <m/>
    <n v="3.75"/>
    <n v="120.75000000000001"/>
    <n v="0.12075000000000001"/>
    <n v="120.75000000000001"/>
  </r>
  <r>
    <x v="0"/>
    <x v="1"/>
    <x v="1"/>
    <x v="5"/>
    <x v="2"/>
    <n v="2500"/>
    <n v="2.5"/>
    <m/>
    <n v="800"/>
    <n v="7.8125"/>
    <n v="251.56250000000003"/>
    <n v="0.10062500000000001"/>
    <n v="100.625"/>
  </r>
  <r>
    <x v="0"/>
    <x v="1"/>
    <x v="1"/>
    <x v="5"/>
    <x v="3"/>
    <n v="5000"/>
    <n v="2.5"/>
    <m/>
    <n v="900"/>
    <n v="13.888888888888889"/>
    <n v="447.22222222222229"/>
    <n v="8.9444444444444451E-2"/>
    <n v="89.444444444444457"/>
  </r>
  <r>
    <x v="0"/>
    <x v="1"/>
    <x v="1"/>
    <x v="5"/>
    <x v="6"/>
    <n v="25000"/>
    <n v="2.5"/>
    <m/>
    <n v="1100"/>
    <n v="56.818181818181813"/>
    <n v="1829.5454545454545"/>
    <n v="7.3181818181818181E-2"/>
    <n v="73.181818181818187"/>
  </r>
  <r>
    <x v="0"/>
    <x v="1"/>
    <x v="1"/>
    <x v="6"/>
    <x v="0"/>
    <n v="500"/>
    <n v="1.5"/>
    <n v="1.5"/>
    <m/>
    <n v="2.25"/>
    <n v="72.45"/>
    <n v="0.1449"/>
    <n v="144.9"/>
  </r>
  <r>
    <x v="0"/>
    <x v="1"/>
    <x v="1"/>
    <x v="6"/>
    <x v="1"/>
    <n v="1000"/>
    <n v="1.5"/>
    <n v="2.5"/>
    <m/>
    <n v="3.75"/>
    <n v="120.75000000000001"/>
    <n v="0.12075000000000001"/>
    <n v="120.75000000000001"/>
  </r>
  <r>
    <x v="0"/>
    <x v="1"/>
    <x v="1"/>
    <x v="6"/>
    <x v="2"/>
    <n v="2500"/>
    <n v="1.5"/>
    <m/>
    <n v="600"/>
    <n v="6.25"/>
    <n v="201.25000000000003"/>
    <n v="8.0500000000000016E-2"/>
    <n v="80.500000000000014"/>
  </r>
  <r>
    <x v="0"/>
    <x v="1"/>
    <x v="1"/>
    <x v="6"/>
    <x v="3"/>
    <n v="5000"/>
    <n v="1.5"/>
    <m/>
    <n v="700"/>
    <n v="10.714285714285715"/>
    <n v="345.00000000000006"/>
    <n v="6.9000000000000006E-2"/>
    <n v="69"/>
  </r>
  <r>
    <x v="0"/>
    <x v="1"/>
    <x v="1"/>
    <x v="6"/>
    <x v="6"/>
    <n v="25000"/>
    <n v="1.5"/>
    <m/>
    <n v="1000"/>
    <n v="37.5"/>
    <n v="1207.5"/>
    <n v="4.8300000000000003E-2"/>
    <n v="48.300000000000004"/>
  </r>
  <r>
    <x v="0"/>
    <x v="1"/>
    <x v="1"/>
    <x v="7"/>
    <x v="0"/>
    <n v="500"/>
    <n v="1.5"/>
    <n v="2.5"/>
    <m/>
    <n v="3.75"/>
    <n v="120.75000000000001"/>
    <n v="0.24150000000000002"/>
    <n v="241.50000000000003"/>
  </r>
  <r>
    <x v="0"/>
    <x v="1"/>
    <x v="1"/>
    <x v="7"/>
    <x v="1"/>
    <n v="1000"/>
    <n v="2.5"/>
    <n v="2.5"/>
    <m/>
    <n v="6.25"/>
    <n v="201.25000000000003"/>
    <n v="0.20125000000000004"/>
    <n v="201.25000000000003"/>
  </r>
  <r>
    <x v="0"/>
    <x v="1"/>
    <x v="1"/>
    <x v="7"/>
    <x v="2"/>
    <n v="2500"/>
    <n v="2.5"/>
    <m/>
    <n v="600"/>
    <n v="10.416666666666668"/>
    <n v="335.41666666666674"/>
    <n v="0.13416666666666668"/>
    <n v="134.16666666666669"/>
  </r>
  <r>
    <x v="0"/>
    <x v="1"/>
    <x v="1"/>
    <x v="7"/>
    <x v="3"/>
    <n v="5000"/>
    <n v="2.5"/>
    <m/>
    <n v="700"/>
    <n v="17.857142857142858"/>
    <n v="575.00000000000011"/>
    <n v="0.11500000000000002"/>
    <n v="115.00000000000001"/>
  </r>
  <r>
    <x v="0"/>
    <x v="1"/>
    <x v="1"/>
    <x v="7"/>
    <x v="6"/>
    <n v="25000"/>
    <n v="2.5"/>
    <m/>
    <n v="1000"/>
    <n v="62.5"/>
    <n v="2012.5000000000002"/>
    <n v="8.0500000000000016E-2"/>
    <n v="80.500000000000014"/>
  </r>
  <r>
    <x v="0"/>
    <x v="1"/>
    <x v="6"/>
    <x v="0"/>
    <x v="0"/>
    <n v="500"/>
    <n v="4.5"/>
    <n v="2.5"/>
    <m/>
    <n v="11.25"/>
    <n v="362.25000000000006"/>
    <n v="0.72450000000000014"/>
    <n v="724.50000000000011"/>
  </r>
  <r>
    <x v="0"/>
    <x v="1"/>
    <x v="6"/>
    <x v="0"/>
    <x v="1"/>
    <n v="1000"/>
    <n v="4.5"/>
    <n v="3.5"/>
    <m/>
    <n v="15.75"/>
    <n v="507.15000000000003"/>
    <n v="0.50714999999999999"/>
    <n v="507.15"/>
  </r>
  <r>
    <x v="0"/>
    <x v="1"/>
    <x v="6"/>
    <x v="0"/>
    <x v="2"/>
    <n v="2500"/>
    <n v="4.5"/>
    <m/>
    <n v="300"/>
    <n v="37.5"/>
    <n v="1207.5"/>
    <n v="0.48299999999999998"/>
    <n v="483"/>
  </r>
  <r>
    <x v="0"/>
    <x v="1"/>
    <x v="6"/>
    <x v="0"/>
    <x v="3"/>
    <n v="5000"/>
    <n v="4.5"/>
    <m/>
    <n v="325"/>
    <n v="69.230769230769226"/>
    <n v="2229.2307692307695"/>
    <n v="0.44584615384615389"/>
    <n v="445.84615384615387"/>
  </r>
  <r>
    <x v="0"/>
    <x v="1"/>
    <x v="6"/>
    <x v="0"/>
    <x v="7"/>
    <n v="10000"/>
    <n v="4.5"/>
    <m/>
    <n v="350"/>
    <n v="128.57142857142858"/>
    <n v="4140.0000000000009"/>
    <n v="0.41400000000000009"/>
    <n v="414.00000000000011"/>
  </r>
  <r>
    <x v="0"/>
    <x v="1"/>
    <x v="6"/>
    <x v="0"/>
    <x v="8"/>
    <n v="25000"/>
    <n v="5.5"/>
    <m/>
    <n v="1100"/>
    <n v="125"/>
    <n v="4025.0000000000005"/>
    <n v="0.16100000000000003"/>
    <n v="161.00000000000003"/>
  </r>
  <r>
    <x v="0"/>
    <x v="1"/>
    <x v="6"/>
    <x v="8"/>
    <x v="0"/>
    <n v="500"/>
    <n v="4.5"/>
    <n v="2"/>
    <m/>
    <n v="9"/>
    <n v="289.8"/>
    <n v="0.5796"/>
    <n v="579.6"/>
  </r>
  <r>
    <x v="0"/>
    <x v="1"/>
    <x v="6"/>
    <x v="8"/>
    <x v="1"/>
    <n v="1000"/>
    <n v="4.5"/>
    <n v="3"/>
    <m/>
    <n v="13.5"/>
    <n v="434.70000000000005"/>
    <n v="0.43470000000000003"/>
    <n v="434.70000000000005"/>
  </r>
  <r>
    <x v="0"/>
    <x v="1"/>
    <x v="6"/>
    <x v="8"/>
    <x v="2"/>
    <n v="2500"/>
    <n v="4.5"/>
    <m/>
    <n v="375"/>
    <n v="30"/>
    <n v="966.00000000000011"/>
    <n v="0.38640000000000002"/>
    <n v="386.40000000000003"/>
  </r>
  <r>
    <x v="0"/>
    <x v="1"/>
    <x v="6"/>
    <x v="8"/>
    <x v="3"/>
    <n v="5000"/>
    <n v="4.5"/>
    <m/>
    <n v="400"/>
    <n v="56.25"/>
    <n v="1811.2500000000002"/>
    <n v="0.36225000000000007"/>
    <n v="362.25000000000006"/>
  </r>
  <r>
    <x v="0"/>
    <x v="1"/>
    <x v="6"/>
    <x v="8"/>
    <x v="7"/>
    <n v="10000"/>
    <n v="4.5"/>
    <m/>
    <n v="425"/>
    <n v="105.88235294117648"/>
    <n v="3409.4117647058829"/>
    <n v="0.3409411764705883"/>
    <n v="340.94117647058829"/>
  </r>
  <r>
    <x v="0"/>
    <x v="1"/>
    <x v="6"/>
    <x v="8"/>
    <x v="8"/>
    <n v="25000"/>
    <n v="4.5"/>
    <m/>
    <n v="450"/>
    <n v="250"/>
    <n v="8050.0000000000009"/>
    <n v="0.32200000000000006"/>
    <n v="322.00000000000006"/>
  </r>
  <r>
    <x v="0"/>
    <x v="1"/>
    <x v="6"/>
    <x v="9"/>
    <x v="0"/>
    <n v="500"/>
    <n v="3.5"/>
    <n v="2"/>
    <m/>
    <n v="7"/>
    <n v="225.40000000000003"/>
    <n v="0.45080000000000009"/>
    <n v="450.80000000000007"/>
  </r>
  <r>
    <x v="0"/>
    <x v="1"/>
    <x v="6"/>
    <x v="9"/>
    <x v="1"/>
    <n v="1000"/>
    <n v="3.5"/>
    <n v="3"/>
    <m/>
    <n v="10.5"/>
    <n v="338.1"/>
    <n v="0.33810000000000001"/>
    <n v="338.1"/>
  </r>
  <r>
    <x v="0"/>
    <x v="1"/>
    <x v="6"/>
    <x v="9"/>
    <x v="2"/>
    <n v="2500"/>
    <n v="3.5"/>
    <m/>
    <n v="375"/>
    <n v="23.333333333333336"/>
    <n v="751.33333333333348"/>
    <n v="0.30053333333333337"/>
    <n v="300.53333333333336"/>
  </r>
  <r>
    <x v="0"/>
    <x v="1"/>
    <x v="6"/>
    <x v="9"/>
    <x v="3"/>
    <n v="5000"/>
    <n v="3.5"/>
    <m/>
    <n v="400"/>
    <n v="43.75"/>
    <n v="1408.7500000000002"/>
    <n v="0.28175000000000006"/>
    <n v="281.75000000000006"/>
  </r>
  <r>
    <x v="0"/>
    <x v="1"/>
    <x v="6"/>
    <x v="9"/>
    <x v="7"/>
    <n v="10000"/>
    <n v="3.5"/>
    <m/>
    <n v="425"/>
    <n v="82.352941176470594"/>
    <n v="2651.7647058823532"/>
    <n v="0.26517647058823529"/>
    <n v="265.1764705882353"/>
  </r>
  <r>
    <x v="0"/>
    <x v="1"/>
    <x v="6"/>
    <x v="9"/>
    <x v="8"/>
    <n v="25000"/>
    <n v="3.5"/>
    <m/>
    <n v="450"/>
    <n v="194.44444444444446"/>
    <n v="6261.1111111111122"/>
    <n v="0.25044444444444447"/>
    <n v="250.44444444444446"/>
  </r>
  <r>
    <x v="0"/>
    <x v="1"/>
    <x v="6"/>
    <x v="3"/>
    <x v="0"/>
    <n v="500"/>
    <n v="5.5"/>
    <n v="2.5"/>
    <m/>
    <n v="13.75"/>
    <n v="442.75000000000006"/>
    <n v="0.88550000000000006"/>
    <n v="885.50000000000011"/>
  </r>
  <r>
    <x v="0"/>
    <x v="1"/>
    <x v="6"/>
    <x v="3"/>
    <x v="1"/>
    <n v="1000"/>
    <n v="5.5"/>
    <n v="3.5"/>
    <m/>
    <n v="19.25"/>
    <n v="619.85"/>
    <n v="0.61985000000000001"/>
    <n v="619.85"/>
  </r>
  <r>
    <x v="0"/>
    <x v="1"/>
    <x v="6"/>
    <x v="3"/>
    <x v="2"/>
    <n v="2500"/>
    <n v="5.5"/>
    <m/>
    <n v="300"/>
    <n v="45.833333333333336"/>
    <n v="1475.8333333333335"/>
    <n v="0.59033333333333338"/>
    <n v="590.33333333333337"/>
  </r>
  <r>
    <x v="0"/>
    <x v="1"/>
    <x v="6"/>
    <x v="3"/>
    <x v="3"/>
    <n v="5000"/>
    <n v="5.5"/>
    <m/>
    <n v="325"/>
    <n v="84.615384615384613"/>
    <n v="2724.6153846153848"/>
    <n v="0.54492307692307695"/>
    <n v="544.92307692307691"/>
  </r>
  <r>
    <x v="0"/>
    <x v="1"/>
    <x v="6"/>
    <x v="3"/>
    <x v="6"/>
    <n v="10000"/>
    <n v="5.5"/>
    <m/>
    <n v="330"/>
    <n v="166.66666666666669"/>
    <n v="5366.6666666666679"/>
    <n v="0.53666666666666674"/>
    <n v="536.66666666666674"/>
  </r>
  <r>
    <x v="0"/>
    <x v="1"/>
    <x v="6"/>
    <x v="4"/>
    <x v="0"/>
    <n v="500"/>
    <n v="1.5"/>
    <n v="1.5"/>
    <m/>
    <n v="2.25"/>
    <n v="72.45"/>
    <n v="0.1449"/>
    <n v="144.9"/>
  </r>
  <r>
    <x v="0"/>
    <x v="1"/>
    <x v="6"/>
    <x v="4"/>
    <x v="1"/>
    <n v="1000"/>
    <n v="1.5"/>
    <n v="2"/>
    <m/>
    <n v="3"/>
    <n v="96.600000000000009"/>
    <n v="9.6600000000000005E-2"/>
    <n v="96.600000000000009"/>
  </r>
  <r>
    <x v="0"/>
    <x v="1"/>
    <x v="6"/>
    <x v="4"/>
    <x v="2"/>
    <n v="2500"/>
    <n v="1.5"/>
    <m/>
    <n v="700"/>
    <n v="5.3571428571428577"/>
    <n v="172.50000000000003"/>
    <n v="6.9000000000000006E-2"/>
    <n v="69"/>
  </r>
  <r>
    <x v="0"/>
    <x v="1"/>
    <x v="6"/>
    <x v="4"/>
    <x v="3"/>
    <n v="5000"/>
    <n v="1.5"/>
    <m/>
    <n v="800"/>
    <n v="9.375"/>
    <n v="301.875"/>
    <n v="6.0374999999999998E-2"/>
    <n v="60.375"/>
  </r>
  <r>
    <x v="0"/>
    <x v="1"/>
    <x v="6"/>
    <x v="4"/>
    <x v="6"/>
    <n v="25000"/>
    <n v="1.5"/>
    <m/>
    <n v="1100"/>
    <n v="34.090909090909093"/>
    <n v="1097.727272727273"/>
    <n v="4.3909090909090918E-2"/>
    <n v="43.909090909090921"/>
  </r>
  <r>
    <x v="0"/>
    <x v="1"/>
    <x v="6"/>
    <x v="5"/>
    <x v="0"/>
    <n v="500"/>
    <n v="2.5"/>
    <n v="1.5"/>
    <m/>
    <n v="3.75"/>
    <n v="120.75000000000001"/>
    <n v="0.24150000000000002"/>
    <n v="241.50000000000003"/>
  </r>
  <r>
    <x v="0"/>
    <x v="1"/>
    <x v="6"/>
    <x v="5"/>
    <x v="1"/>
    <n v="1000"/>
    <n v="2.5"/>
    <n v="2"/>
    <m/>
    <n v="5"/>
    <n v="161"/>
    <n v="0.161"/>
    <n v="161"/>
  </r>
  <r>
    <x v="0"/>
    <x v="1"/>
    <x v="6"/>
    <x v="5"/>
    <x v="2"/>
    <n v="2500"/>
    <n v="2.5"/>
    <m/>
    <n v="700"/>
    <n v="8.9285714285714288"/>
    <n v="287.50000000000006"/>
    <n v="0.11500000000000002"/>
    <n v="115.00000000000001"/>
  </r>
  <r>
    <x v="0"/>
    <x v="1"/>
    <x v="6"/>
    <x v="5"/>
    <x v="3"/>
    <n v="5000"/>
    <n v="2.5"/>
    <m/>
    <n v="800"/>
    <n v="15.625"/>
    <n v="503.12500000000006"/>
    <n v="0.10062500000000001"/>
    <n v="100.625"/>
  </r>
  <r>
    <x v="0"/>
    <x v="1"/>
    <x v="6"/>
    <x v="5"/>
    <x v="6"/>
    <n v="25000"/>
    <n v="2.5"/>
    <m/>
    <n v="1100"/>
    <n v="56.818181818181813"/>
    <n v="1829.5454545454545"/>
    <n v="7.3181818181818181E-2"/>
    <n v="73.181818181818187"/>
  </r>
  <r>
    <x v="0"/>
    <x v="1"/>
    <x v="6"/>
    <x v="6"/>
    <x v="0"/>
    <n v="500"/>
    <n v="1.5"/>
    <n v="1.5"/>
    <m/>
    <n v="2.25"/>
    <n v="72.45"/>
    <n v="0.1449"/>
    <n v="144.9"/>
  </r>
  <r>
    <x v="0"/>
    <x v="1"/>
    <x v="6"/>
    <x v="6"/>
    <x v="1"/>
    <n v="1000"/>
    <n v="1.5"/>
    <n v="2.5"/>
    <m/>
    <n v="3.75"/>
    <n v="120.75000000000001"/>
    <n v="0.12075000000000001"/>
    <n v="120.75000000000001"/>
  </r>
  <r>
    <x v="0"/>
    <x v="1"/>
    <x v="6"/>
    <x v="6"/>
    <x v="2"/>
    <n v="2500"/>
    <n v="1.5"/>
    <m/>
    <n v="600"/>
    <n v="6.25"/>
    <n v="201.25000000000003"/>
    <n v="8.0500000000000016E-2"/>
    <n v="80.500000000000014"/>
  </r>
  <r>
    <x v="0"/>
    <x v="1"/>
    <x v="6"/>
    <x v="6"/>
    <x v="3"/>
    <n v="5000"/>
    <n v="1.5"/>
    <m/>
    <n v="700"/>
    <n v="10.714285714285715"/>
    <n v="345.00000000000006"/>
    <n v="6.9000000000000006E-2"/>
    <n v="69"/>
  </r>
  <r>
    <x v="0"/>
    <x v="1"/>
    <x v="6"/>
    <x v="6"/>
    <x v="6"/>
    <n v="25000"/>
    <n v="1.5"/>
    <m/>
    <n v="1000"/>
    <n v="37.5"/>
    <n v="1207.5"/>
    <n v="4.8300000000000003E-2"/>
    <n v="48.300000000000004"/>
  </r>
  <r>
    <x v="0"/>
    <x v="1"/>
    <x v="6"/>
    <x v="7"/>
    <x v="0"/>
    <n v="500"/>
    <n v="2.5"/>
    <n v="1.5"/>
    <m/>
    <n v="3.75"/>
    <n v="120.75000000000001"/>
    <n v="0.24150000000000002"/>
    <n v="241.50000000000003"/>
  </r>
  <r>
    <x v="0"/>
    <x v="1"/>
    <x v="6"/>
    <x v="7"/>
    <x v="1"/>
    <n v="1000"/>
    <n v="2.5"/>
    <n v="2.5"/>
    <m/>
    <n v="6.25"/>
    <n v="201.25000000000003"/>
    <n v="0.20125000000000004"/>
    <n v="201.25000000000003"/>
  </r>
  <r>
    <x v="0"/>
    <x v="1"/>
    <x v="6"/>
    <x v="7"/>
    <x v="2"/>
    <n v="2500"/>
    <n v="2.5"/>
    <m/>
    <n v="600"/>
    <n v="10.416666666666668"/>
    <n v="335.41666666666674"/>
    <n v="0.13416666666666668"/>
    <n v="134.16666666666669"/>
  </r>
  <r>
    <x v="0"/>
    <x v="1"/>
    <x v="6"/>
    <x v="7"/>
    <x v="3"/>
    <n v="5000"/>
    <n v="2.5"/>
    <m/>
    <n v="700"/>
    <n v="17.857142857142858"/>
    <n v="575.00000000000011"/>
    <n v="0.11500000000000002"/>
    <n v="115.00000000000001"/>
  </r>
  <r>
    <x v="0"/>
    <x v="1"/>
    <x v="6"/>
    <x v="7"/>
    <x v="6"/>
    <n v="25000"/>
    <n v="2.5"/>
    <m/>
    <n v="1000"/>
    <n v="62.5"/>
    <n v="2012.5000000000002"/>
    <n v="8.0500000000000016E-2"/>
    <n v="80.5000000000000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Tubos"/>
    <x v="0"/>
    <x v="0"/>
    <x v="0"/>
    <x v="0"/>
    <x v="0"/>
    <m/>
    <m/>
    <m/>
    <m/>
    <m/>
    <n v="0.218"/>
    <n v="218"/>
  </r>
  <r>
    <s v="Tubos"/>
    <x v="0"/>
    <x v="1"/>
    <x v="0"/>
    <x v="0"/>
    <x v="1"/>
    <m/>
    <m/>
    <m/>
    <m/>
    <m/>
    <n v="0.375"/>
    <n v="375"/>
  </r>
  <r>
    <s v="Tubos"/>
    <x v="0"/>
    <x v="1"/>
    <x v="0"/>
    <x v="0"/>
    <x v="2"/>
    <m/>
    <m/>
    <m/>
    <m/>
    <m/>
    <n v="0.21"/>
    <n v="210"/>
  </r>
  <r>
    <s v="Tubos"/>
    <x v="0"/>
    <x v="1"/>
    <x v="0"/>
    <x v="0"/>
    <x v="3"/>
    <m/>
    <m/>
    <m/>
    <m/>
    <m/>
    <n v="0.156"/>
    <n v="156"/>
  </r>
  <r>
    <s v="Tubos"/>
    <x v="0"/>
    <x v="1"/>
    <x v="0"/>
    <x v="0"/>
    <x v="4"/>
    <m/>
    <m/>
    <m/>
    <m/>
    <m/>
    <n v="0.14599999999999999"/>
    <n v="146"/>
  </r>
  <r>
    <s v="Tubos"/>
    <x v="0"/>
    <x v="1"/>
    <x v="0"/>
    <x v="0"/>
    <x v="5"/>
    <m/>
    <m/>
    <m/>
    <m/>
    <m/>
    <n v="0.127"/>
    <n v="127"/>
  </r>
  <r>
    <s v="Tubos"/>
    <x v="0"/>
    <x v="1"/>
    <x v="0"/>
    <x v="0"/>
    <x v="6"/>
    <m/>
    <m/>
    <m/>
    <m/>
    <m/>
    <n v="0.112"/>
    <n v="112"/>
  </r>
  <r>
    <s v="Tubos"/>
    <x v="0"/>
    <x v="2"/>
    <x v="0"/>
    <x v="0"/>
    <x v="1"/>
    <m/>
    <m/>
    <m/>
    <m/>
    <m/>
    <n v="0.375"/>
    <n v="375"/>
  </r>
  <r>
    <s v="Tubos"/>
    <x v="0"/>
    <x v="2"/>
    <x v="0"/>
    <x v="0"/>
    <x v="2"/>
    <m/>
    <m/>
    <m/>
    <m/>
    <m/>
    <n v="0.20699999999999999"/>
    <n v="207"/>
  </r>
  <r>
    <s v="Tubos"/>
    <x v="0"/>
    <x v="2"/>
    <x v="0"/>
    <x v="0"/>
    <x v="3"/>
    <m/>
    <m/>
    <m/>
    <m/>
    <m/>
    <n v="0.153"/>
    <n v="153"/>
  </r>
  <r>
    <s v="Tubos"/>
    <x v="0"/>
    <x v="2"/>
    <x v="0"/>
    <x v="0"/>
    <x v="4"/>
    <m/>
    <m/>
    <m/>
    <m/>
    <m/>
    <n v="0.13200000000000001"/>
    <n v="132"/>
  </r>
  <r>
    <s v="Tubos"/>
    <x v="0"/>
    <x v="2"/>
    <x v="0"/>
    <x v="0"/>
    <x v="5"/>
    <m/>
    <m/>
    <m/>
    <m/>
    <m/>
    <n v="0.11700000000000001"/>
    <n v="117"/>
  </r>
  <r>
    <s v="Tubos"/>
    <x v="0"/>
    <x v="2"/>
    <x v="0"/>
    <x v="0"/>
    <x v="6"/>
    <m/>
    <m/>
    <m/>
    <m/>
    <m/>
    <n v="0.107"/>
    <n v="107"/>
  </r>
  <r>
    <s v="Tubos"/>
    <x v="0"/>
    <x v="2"/>
    <x v="0"/>
    <x v="0"/>
    <x v="7"/>
    <m/>
    <m/>
    <m/>
    <m/>
    <m/>
    <n v="9.6000000000000002E-2"/>
    <n v="96"/>
  </r>
  <r>
    <s v="Tubos"/>
    <x v="0"/>
    <x v="2"/>
    <x v="0"/>
    <x v="0"/>
    <x v="8"/>
    <m/>
    <m/>
    <m/>
    <m/>
    <m/>
    <n v="8.8999999999999996E-2"/>
    <n v="89"/>
  </r>
  <r>
    <s v="Tubos"/>
    <x v="0"/>
    <x v="3"/>
    <x v="0"/>
    <x v="0"/>
    <x v="1"/>
    <m/>
    <m/>
    <m/>
    <m/>
    <m/>
    <n v="0.375"/>
    <n v="375"/>
  </r>
  <r>
    <s v="Tubos"/>
    <x v="0"/>
    <x v="3"/>
    <x v="0"/>
    <x v="0"/>
    <x v="2"/>
    <m/>
    <m/>
    <m/>
    <m/>
    <m/>
    <n v="0.20399999999999999"/>
    <n v="204"/>
  </r>
  <r>
    <s v="Tubos"/>
    <x v="0"/>
    <x v="3"/>
    <x v="0"/>
    <x v="0"/>
    <x v="3"/>
    <m/>
    <m/>
    <m/>
    <m/>
    <m/>
    <n v="0.14899999999999999"/>
    <n v="149"/>
  </r>
  <r>
    <s v="Tubos"/>
    <x v="0"/>
    <x v="3"/>
    <x v="0"/>
    <x v="0"/>
    <x v="4"/>
    <m/>
    <m/>
    <m/>
    <m/>
    <m/>
    <n v="0.127"/>
    <n v="127"/>
  </r>
  <r>
    <s v="Tubos"/>
    <x v="0"/>
    <x v="3"/>
    <x v="0"/>
    <x v="0"/>
    <x v="5"/>
    <m/>
    <m/>
    <m/>
    <m/>
    <m/>
    <n v="0.115"/>
    <n v="115"/>
  </r>
  <r>
    <s v="Tubos"/>
    <x v="0"/>
    <x v="3"/>
    <x v="0"/>
    <x v="0"/>
    <x v="6"/>
    <m/>
    <m/>
    <m/>
    <m/>
    <m/>
    <n v="0.10199999999999999"/>
    <n v="102"/>
  </r>
  <r>
    <s v="Tubos"/>
    <x v="0"/>
    <x v="4"/>
    <x v="0"/>
    <x v="0"/>
    <x v="1"/>
    <m/>
    <m/>
    <m/>
    <m/>
    <m/>
    <n v="0.375"/>
    <n v="375"/>
  </r>
  <r>
    <s v="Tubos"/>
    <x v="0"/>
    <x v="4"/>
    <x v="0"/>
    <x v="0"/>
    <x v="2"/>
    <m/>
    <m/>
    <m/>
    <m/>
    <m/>
    <n v="0.19900000000000001"/>
    <n v="199"/>
  </r>
  <r>
    <s v="Tubos"/>
    <x v="0"/>
    <x v="4"/>
    <x v="0"/>
    <x v="0"/>
    <x v="3"/>
    <m/>
    <m/>
    <m/>
    <m/>
    <m/>
    <n v="0.14499999999999999"/>
    <n v="145"/>
  </r>
  <r>
    <s v="Tubos"/>
    <x v="0"/>
    <x v="4"/>
    <x v="0"/>
    <x v="0"/>
    <x v="4"/>
    <m/>
    <m/>
    <m/>
    <m/>
    <m/>
    <n v="0.12"/>
    <n v="120"/>
  </r>
  <r>
    <s v="Tubos"/>
    <x v="0"/>
    <x v="4"/>
    <x v="0"/>
    <x v="0"/>
    <x v="5"/>
    <m/>
    <m/>
    <m/>
    <m/>
    <m/>
    <n v="0.111"/>
    <n v="111"/>
  </r>
  <r>
    <s v="Tubos"/>
    <x v="0"/>
    <x v="4"/>
    <x v="0"/>
    <x v="0"/>
    <x v="6"/>
    <m/>
    <m/>
    <m/>
    <m/>
    <m/>
    <n v="9.8000000000000004E-2"/>
    <n v="98"/>
  </r>
  <r>
    <s v="Tubos"/>
    <x v="0"/>
    <x v="4"/>
    <x v="0"/>
    <x v="0"/>
    <x v="7"/>
    <m/>
    <m/>
    <m/>
    <m/>
    <m/>
    <n v="9.0999999999999998E-2"/>
    <n v="91"/>
  </r>
  <r>
    <s v="Tubos"/>
    <x v="0"/>
    <x v="4"/>
    <x v="0"/>
    <x v="0"/>
    <x v="8"/>
    <m/>
    <m/>
    <m/>
    <m/>
    <m/>
    <n v="8.4000000000000005E-2"/>
    <n v="84"/>
  </r>
  <r>
    <s v="Tubos"/>
    <x v="0"/>
    <x v="5"/>
    <x v="0"/>
    <x v="0"/>
    <x v="1"/>
    <m/>
    <m/>
    <m/>
    <m/>
    <m/>
    <n v="0.375"/>
    <n v="375"/>
  </r>
  <r>
    <s v="Tubos"/>
    <x v="0"/>
    <x v="5"/>
    <x v="0"/>
    <x v="0"/>
    <x v="2"/>
    <m/>
    <m/>
    <m/>
    <m/>
    <m/>
    <n v="0.193"/>
    <n v="193"/>
  </r>
  <r>
    <s v="Tubos"/>
    <x v="0"/>
    <x v="5"/>
    <x v="0"/>
    <x v="0"/>
    <x v="3"/>
    <m/>
    <m/>
    <m/>
    <m/>
    <m/>
    <n v="0.14000000000000001"/>
    <n v="140"/>
  </r>
  <r>
    <s v="Tubos"/>
    <x v="0"/>
    <x v="5"/>
    <x v="0"/>
    <x v="0"/>
    <x v="4"/>
    <m/>
    <m/>
    <m/>
    <m/>
    <m/>
    <n v="0.11600000000000001"/>
    <n v="116"/>
  </r>
  <r>
    <s v="Tubos"/>
    <x v="0"/>
    <x v="5"/>
    <x v="0"/>
    <x v="0"/>
    <x v="5"/>
    <m/>
    <m/>
    <m/>
    <m/>
    <m/>
    <n v="0.105"/>
    <n v="105"/>
  </r>
  <r>
    <s v="Tubos"/>
    <x v="0"/>
    <x v="5"/>
    <x v="0"/>
    <x v="0"/>
    <x v="6"/>
    <m/>
    <m/>
    <m/>
    <m/>
    <m/>
    <n v="9.4E-2"/>
    <n v="94"/>
  </r>
  <r>
    <s v="Tubos"/>
    <x v="0"/>
    <x v="5"/>
    <x v="0"/>
    <x v="0"/>
    <x v="7"/>
    <m/>
    <m/>
    <m/>
    <m/>
    <m/>
    <n v="8.6999999999999994E-2"/>
    <n v="87"/>
  </r>
  <r>
    <s v="Tubos"/>
    <x v="0"/>
    <x v="5"/>
    <x v="0"/>
    <x v="0"/>
    <x v="8"/>
    <m/>
    <m/>
    <m/>
    <m/>
    <m/>
    <n v="0.08"/>
    <n v="80"/>
  </r>
  <r>
    <s v="Tubos"/>
    <x v="0"/>
    <x v="6"/>
    <x v="0"/>
    <x v="0"/>
    <x v="1"/>
    <m/>
    <m/>
    <m/>
    <m/>
    <m/>
    <n v="0.375"/>
    <n v="375"/>
  </r>
  <r>
    <s v="Tubos"/>
    <x v="0"/>
    <x v="6"/>
    <x v="0"/>
    <x v="0"/>
    <x v="2"/>
    <m/>
    <m/>
    <m/>
    <m/>
    <m/>
    <n v="0.193"/>
    <n v="193"/>
  </r>
  <r>
    <s v="Tubos"/>
    <x v="0"/>
    <x v="6"/>
    <x v="0"/>
    <x v="0"/>
    <x v="3"/>
    <m/>
    <m/>
    <m/>
    <m/>
    <m/>
    <n v="0.14000000000000001"/>
    <n v="140"/>
  </r>
  <r>
    <s v="Tubos"/>
    <x v="0"/>
    <x v="6"/>
    <x v="0"/>
    <x v="0"/>
    <x v="4"/>
    <m/>
    <m/>
    <m/>
    <m/>
    <m/>
    <n v="0.11600000000000001"/>
    <n v="116"/>
  </r>
  <r>
    <s v="Tubos"/>
    <x v="0"/>
    <x v="6"/>
    <x v="0"/>
    <x v="0"/>
    <x v="5"/>
    <m/>
    <m/>
    <m/>
    <m/>
    <m/>
    <n v="0.105"/>
    <n v="105"/>
  </r>
  <r>
    <s v="Tubos"/>
    <x v="0"/>
    <x v="6"/>
    <x v="0"/>
    <x v="0"/>
    <x v="6"/>
    <m/>
    <m/>
    <m/>
    <m/>
    <m/>
    <n v="9.4E-2"/>
    <n v="94"/>
  </r>
  <r>
    <s v="Tubos"/>
    <x v="0"/>
    <x v="6"/>
    <x v="0"/>
    <x v="0"/>
    <x v="7"/>
    <m/>
    <m/>
    <m/>
    <m/>
    <m/>
    <n v="8.6999999999999994E-2"/>
    <n v="87"/>
  </r>
  <r>
    <s v="Tubos"/>
    <x v="0"/>
    <x v="6"/>
    <x v="0"/>
    <x v="0"/>
    <x v="8"/>
    <m/>
    <m/>
    <m/>
    <m/>
    <m/>
    <n v="0.08"/>
    <n v="80"/>
  </r>
  <r>
    <s v="Tubos"/>
    <x v="0"/>
    <x v="7"/>
    <x v="0"/>
    <x v="0"/>
    <x v="1"/>
    <m/>
    <m/>
    <m/>
    <m/>
    <m/>
    <n v="0.375"/>
    <n v="375"/>
  </r>
  <r>
    <s v="Tubos"/>
    <x v="0"/>
    <x v="7"/>
    <x v="0"/>
    <x v="0"/>
    <x v="2"/>
    <m/>
    <m/>
    <m/>
    <m/>
    <m/>
    <n v="0.188"/>
    <n v="188"/>
  </r>
  <r>
    <s v="Tubos"/>
    <x v="0"/>
    <x v="7"/>
    <x v="0"/>
    <x v="0"/>
    <x v="3"/>
    <m/>
    <m/>
    <m/>
    <m/>
    <m/>
    <n v="0.13700000000000001"/>
    <n v="137"/>
  </r>
  <r>
    <s v="Tubos"/>
    <x v="0"/>
    <x v="7"/>
    <x v="0"/>
    <x v="0"/>
    <x v="4"/>
    <m/>
    <m/>
    <m/>
    <m/>
    <m/>
    <n v="0.112"/>
    <n v="112"/>
  </r>
  <r>
    <s v="Tubos"/>
    <x v="0"/>
    <x v="7"/>
    <x v="0"/>
    <x v="0"/>
    <x v="5"/>
    <m/>
    <m/>
    <m/>
    <m/>
    <m/>
    <n v="9.8000000000000004E-2"/>
    <n v="98"/>
  </r>
  <r>
    <s v="Tubos"/>
    <x v="0"/>
    <x v="7"/>
    <x v="0"/>
    <x v="0"/>
    <x v="6"/>
    <m/>
    <m/>
    <m/>
    <m/>
    <m/>
    <n v="8.8999999999999996E-2"/>
    <n v="89"/>
  </r>
  <r>
    <s v="Tubos"/>
    <x v="0"/>
    <x v="7"/>
    <x v="0"/>
    <x v="0"/>
    <x v="7"/>
    <m/>
    <m/>
    <m/>
    <m/>
    <m/>
    <n v="8.1000000000000003E-2"/>
    <n v="81"/>
  </r>
  <r>
    <s v="Tubos"/>
    <x v="0"/>
    <x v="7"/>
    <x v="0"/>
    <x v="0"/>
    <x v="8"/>
    <m/>
    <m/>
    <m/>
    <m/>
    <m/>
    <n v="7.5999999999999998E-2"/>
    <n v="76"/>
  </r>
  <r>
    <s v="Tubos"/>
    <x v="0"/>
    <x v="8"/>
    <x v="0"/>
    <x v="0"/>
    <x v="1"/>
    <m/>
    <m/>
    <m/>
    <m/>
    <m/>
    <n v="0.375"/>
    <n v="375"/>
  </r>
  <r>
    <s v="Tubos"/>
    <x v="0"/>
    <x v="8"/>
    <x v="0"/>
    <x v="0"/>
    <x v="2"/>
    <m/>
    <m/>
    <m/>
    <m/>
    <m/>
    <n v="0.188"/>
    <n v="188"/>
  </r>
  <r>
    <s v="Tubos"/>
    <x v="0"/>
    <x v="8"/>
    <x v="0"/>
    <x v="0"/>
    <x v="3"/>
    <m/>
    <m/>
    <m/>
    <m/>
    <m/>
    <n v="0.13700000000000001"/>
    <n v="137"/>
  </r>
  <r>
    <s v="Tubos"/>
    <x v="0"/>
    <x v="8"/>
    <x v="0"/>
    <x v="0"/>
    <x v="4"/>
    <m/>
    <m/>
    <m/>
    <m/>
    <m/>
    <n v="0.112"/>
    <n v="112"/>
  </r>
  <r>
    <s v="Tubos"/>
    <x v="0"/>
    <x v="8"/>
    <x v="0"/>
    <x v="0"/>
    <x v="5"/>
    <m/>
    <m/>
    <m/>
    <m/>
    <m/>
    <n v="9.8000000000000004E-2"/>
    <n v="98"/>
  </r>
  <r>
    <s v="Tubos"/>
    <x v="0"/>
    <x v="8"/>
    <x v="0"/>
    <x v="0"/>
    <x v="6"/>
    <m/>
    <m/>
    <m/>
    <m/>
    <m/>
    <n v="8.8999999999999996E-2"/>
    <n v="89"/>
  </r>
  <r>
    <s v="Tubos"/>
    <x v="0"/>
    <x v="8"/>
    <x v="0"/>
    <x v="0"/>
    <x v="7"/>
    <m/>
    <m/>
    <m/>
    <m/>
    <m/>
    <n v="8.1000000000000003E-2"/>
    <n v="81"/>
  </r>
  <r>
    <s v="Tubos"/>
    <x v="0"/>
    <x v="8"/>
    <x v="0"/>
    <x v="0"/>
    <x v="8"/>
    <m/>
    <m/>
    <m/>
    <m/>
    <m/>
    <n v="7.5999999999999998E-2"/>
    <n v="76"/>
  </r>
  <r>
    <s v="Tubos"/>
    <x v="1"/>
    <x v="0"/>
    <x v="0"/>
    <x v="0"/>
    <x v="0"/>
    <m/>
    <m/>
    <m/>
    <m/>
    <m/>
    <n v="0.40329999999999999"/>
    <n v="403.3"/>
  </r>
  <r>
    <s v="Tubos"/>
    <x v="1"/>
    <x v="1"/>
    <x v="0"/>
    <x v="0"/>
    <x v="1"/>
    <m/>
    <m/>
    <m/>
    <m/>
    <m/>
    <n v="0.69374999999999998"/>
    <n v="693.75"/>
  </r>
  <r>
    <s v="Tubos"/>
    <x v="1"/>
    <x v="1"/>
    <x v="0"/>
    <x v="0"/>
    <x v="2"/>
    <m/>
    <m/>
    <m/>
    <m/>
    <m/>
    <n v="0.38850000000000001"/>
    <n v="388.5"/>
  </r>
  <r>
    <s v="Tubos"/>
    <x v="1"/>
    <x v="1"/>
    <x v="0"/>
    <x v="0"/>
    <x v="3"/>
    <m/>
    <m/>
    <m/>
    <m/>
    <m/>
    <n v="0.28860000000000002"/>
    <n v="288.60000000000002"/>
  </r>
  <r>
    <s v="Tubos"/>
    <x v="1"/>
    <x v="1"/>
    <x v="0"/>
    <x v="0"/>
    <x v="4"/>
    <m/>
    <m/>
    <m/>
    <m/>
    <m/>
    <n v="0.27010000000000001"/>
    <n v="270.10000000000002"/>
  </r>
  <r>
    <s v="Tubos"/>
    <x v="1"/>
    <x v="1"/>
    <x v="0"/>
    <x v="0"/>
    <x v="5"/>
    <m/>
    <m/>
    <m/>
    <m/>
    <m/>
    <n v="0.23495000000000002"/>
    <n v="234.95000000000002"/>
  </r>
  <r>
    <s v="Tubos"/>
    <x v="1"/>
    <x v="1"/>
    <x v="0"/>
    <x v="0"/>
    <x v="6"/>
    <m/>
    <m/>
    <m/>
    <m/>
    <m/>
    <n v="0.20720000000000002"/>
    <n v="207.20000000000002"/>
  </r>
  <r>
    <s v="Tubos"/>
    <x v="1"/>
    <x v="2"/>
    <x v="0"/>
    <x v="0"/>
    <x v="1"/>
    <m/>
    <m/>
    <m/>
    <m/>
    <m/>
    <n v="0.69374999999999998"/>
    <n v="693.75"/>
  </r>
  <r>
    <s v="Tubos"/>
    <x v="1"/>
    <x v="2"/>
    <x v="0"/>
    <x v="0"/>
    <x v="2"/>
    <m/>
    <m/>
    <m/>
    <m/>
    <m/>
    <n v="0.38295000000000007"/>
    <n v="382.95000000000005"/>
  </r>
  <r>
    <s v="Tubos"/>
    <x v="1"/>
    <x v="2"/>
    <x v="0"/>
    <x v="0"/>
    <x v="3"/>
    <m/>
    <m/>
    <m/>
    <m/>
    <m/>
    <n v="0.28305000000000002"/>
    <n v="283.05"/>
  </r>
  <r>
    <s v="Tubos"/>
    <x v="1"/>
    <x v="2"/>
    <x v="0"/>
    <x v="0"/>
    <x v="4"/>
    <m/>
    <m/>
    <m/>
    <m/>
    <m/>
    <n v="0.24420000000000003"/>
    <n v="244.20000000000002"/>
  </r>
  <r>
    <s v="Tubos"/>
    <x v="1"/>
    <x v="2"/>
    <x v="0"/>
    <x v="0"/>
    <x v="5"/>
    <m/>
    <m/>
    <m/>
    <m/>
    <m/>
    <n v="0.21645"/>
    <n v="216.45000000000002"/>
  </r>
  <r>
    <s v="Tubos"/>
    <x v="1"/>
    <x v="2"/>
    <x v="0"/>
    <x v="0"/>
    <x v="6"/>
    <m/>
    <m/>
    <m/>
    <m/>
    <m/>
    <n v="0.19795000000000001"/>
    <n v="197.95000000000002"/>
  </r>
  <r>
    <s v="Tubos"/>
    <x v="1"/>
    <x v="2"/>
    <x v="0"/>
    <x v="0"/>
    <x v="7"/>
    <m/>
    <m/>
    <m/>
    <m/>
    <m/>
    <n v="0.17760000000000004"/>
    <n v="177.60000000000002"/>
  </r>
  <r>
    <s v="Tubos"/>
    <x v="1"/>
    <x v="2"/>
    <x v="0"/>
    <x v="0"/>
    <x v="8"/>
    <m/>
    <m/>
    <m/>
    <m/>
    <m/>
    <n v="0.16465000000000002"/>
    <n v="164.65"/>
  </r>
  <r>
    <s v="Tubos"/>
    <x v="1"/>
    <x v="3"/>
    <x v="0"/>
    <x v="0"/>
    <x v="1"/>
    <m/>
    <m/>
    <m/>
    <m/>
    <m/>
    <n v="0.69374999999999998"/>
    <n v="693.75"/>
  </r>
  <r>
    <s v="Tubos"/>
    <x v="1"/>
    <x v="3"/>
    <x v="0"/>
    <x v="0"/>
    <x v="2"/>
    <m/>
    <m/>
    <m/>
    <m/>
    <m/>
    <n v="0.37740000000000001"/>
    <n v="377.40000000000003"/>
  </r>
  <r>
    <s v="Tubos"/>
    <x v="1"/>
    <x v="3"/>
    <x v="0"/>
    <x v="0"/>
    <x v="3"/>
    <m/>
    <m/>
    <m/>
    <m/>
    <m/>
    <n v="0.27565000000000006"/>
    <n v="275.65000000000003"/>
  </r>
  <r>
    <s v="Tubos"/>
    <x v="1"/>
    <x v="3"/>
    <x v="0"/>
    <x v="0"/>
    <x v="4"/>
    <m/>
    <m/>
    <m/>
    <m/>
    <m/>
    <n v="0.23495000000000002"/>
    <n v="234.95000000000002"/>
  </r>
  <r>
    <s v="Tubos"/>
    <x v="1"/>
    <x v="3"/>
    <x v="0"/>
    <x v="0"/>
    <x v="5"/>
    <m/>
    <m/>
    <m/>
    <m/>
    <m/>
    <n v="0.21274999999999999"/>
    <n v="212.75"/>
  </r>
  <r>
    <s v="Tubos"/>
    <x v="1"/>
    <x v="3"/>
    <x v="0"/>
    <x v="0"/>
    <x v="6"/>
    <m/>
    <m/>
    <m/>
    <m/>
    <m/>
    <n v="0.18870000000000001"/>
    <n v="188.70000000000002"/>
  </r>
  <r>
    <s v="Tubos"/>
    <x v="1"/>
    <x v="4"/>
    <x v="0"/>
    <x v="0"/>
    <x v="1"/>
    <m/>
    <m/>
    <m/>
    <m/>
    <m/>
    <n v="0.69374999999999998"/>
    <n v="693.75"/>
  </r>
  <r>
    <s v="Tubos"/>
    <x v="1"/>
    <x v="4"/>
    <x v="0"/>
    <x v="0"/>
    <x v="2"/>
    <m/>
    <m/>
    <m/>
    <m/>
    <m/>
    <n v="0.36815000000000003"/>
    <n v="368.15000000000003"/>
  </r>
  <r>
    <s v="Tubos"/>
    <x v="1"/>
    <x v="4"/>
    <x v="0"/>
    <x v="0"/>
    <x v="3"/>
    <m/>
    <m/>
    <m/>
    <m/>
    <m/>
    <n v="0.26824999999999999"/>
    <n v="268.25"/>
  </r>
  <r>
    <s v="Tubos"/>
    <x v="1"/>
    <x v="4"/>
    <x v="0"/>
    <x v="0"/>
    <x v="4"/>
    <m/>
    <m/>
    <m/>
    <m/>
    <m/>
    <n v="0.222"/>
    <n v="222"/>
  </r>
  <r>
    <s v="Tubos"/>
    <x v="1"/>
    <x v="4"/>
    <x v="0"/>
    <x v="0"/>
    <x v="5"/>
    <m/>
    <m/>
    <m/>
    <m/>
    <m/>
    <n v="0.20535000000000003"/>
    <n v="205.35000000000002"/>
  </r>
  <r>
    <s v="Tubos"/>
    <x v="1"/>
    <x v="4"/>
    <x v="0"/>
    <x v="0"/>
    <x v="6"/>
    <m/>
    <m/>
    <m/>
    <m/>
    <m/>
    <n v="0.18130000000000002"/>
    <n v="181.3"/>
  </r>
  <r>
    <s v="Tubos"/>
    <x v="1"/>
    <x v="4"/>
    <x v="0"/>
    <x v="0"/>
    <x v="7"/>
    <m/>
    <m/>
    <m/>
    <m/>
    <m/>
    <n v="0.16835"/>
    <n v="168.35"/>
  </r>
  <r>
    <s v="Tubos"/>
    <x v="1"/>
    <x v="4"/>
    <x v="0"/>
    <x v="0"/>
    <x v="8"/>
    <m/>
    <m/>
    <m/>
    <m/>
    <m/>
    <n v="0.15540000000000001"/>
    <n v="155.4"/>
  </r>
  <r>
    <s v="Tubos"/>
    <x v="1"/>
    <x v="5"/>
    <x v="0"/>
    <x v="0"/>
    <x v="1"/>
    <m/>
    <m/>
    <m/>
    <m/>
    <m/>
    <n v="0.69374999999999998"/>
    <n v="693.75"/>
  </r>
  <r>
    <s v="Tubos"/>
    <x v="1"/>
    <x v="5"/>
    <x v="0"/>
    <x v="0"/>
    <x v="2"/>
    <m/>
    <m/>
    <m/>
    <m/>
    <m/>
    <n v="0.35705000000000003"/>
    <n v="357.05"/>
  </r>
  <r>
    <s v="Tubos"/>
    <x v="1"/>
    <x v="5"/>
    <x v="0"/>
    <x v="0"/>
    <x v="3"/>
    <m/>
    <m/>
    <m/>
    <m/>
    <m/>
    <n v="0.25900000000000001"/>
    <n v="259"/>
  </r>
  <r>
    <s v="Tubos"/>
    <x v="1"/>
    <x v="5"/>
    <x v="0"/>
    <x v="0"/>
    <x v="4"/>
    <m/>
    <m/>
    <m/>
    <m/>
    <m/>
    <n v="0.21460000000000001"/>
    <n v="214.60000000000002"/>
  </r>
  <r>
    <s v="Tubos"/>
    <x v="1"/>
    <x v="5"/>
    <x v="0"/>
    <x v="0"/>
    <x v="5"/>
    <m/>
    <m/>
    <m/>
    <m/>
    <m/>
    <n v="0.19425000000000001"/>
    <n v="194.25"/>
  </r>
  <r>
    <s v="Tubos"/>
    <x v="1"/>
    <x v="5"/>
    <x v="0"/>
    <x v="0"/>
    <x v="6"/>
    <m/>
    <m/>
    <m/>
    <m/>
    <m/>
    <n v="0.1739"/>
    <n v="173.9"/>
  </r>
  <r>
    <s v="Tubos"/>
    <x v="1"/>
    <x v="5"/>
    <x v="0"/>
    <x v="0"/>
    <x v="7"/>
    <m/>
    <m/>
    <m/>
    <m/>
    <m/>
    <n v="0.16095000000000001"/>
    <n v="160.95000000000002"/>
  </r>
  <r>
    <s v="Tubos"/>
    <x v="1"/>
    <x v="5"/>
    <x v="0"/>
    <x v="0"/>
    <x v="8"/>
    <m/>
    <m/>
    <m/>
    <m/>
    <m/>
    <n v="0.14799999999999999"/>
    <n v="148"/>
  </r>
  <r>
    <s v="Tubos"/>
    <x v="1"/>
    <x v="6"/>
    <x v="0"/>
    <x v="0"/>
    <x v="1"/>
    <m/>
    <m/>
    <m/>
    <m/>
    <m/>
    <n v="0.69374999999999998"/>
    <n v="693.75"/>
  </r>
  <r>
    <s v="Tubos"/>
    <x v="1"/>
    <x v="6"/>
    <x v="0"/>
    <x v="0"/>
    <x v="2"/>
    <m/>
    <m/>
    <m/>
    <m/>
    <m/>
    <n v="0.35705000000000003"/>
    <n v="357.05"/>
  </r>
  <r>
    <s v="Tubos"/>
    <x v="1"/>
    <x v="6"/>
    <x v="0"/>
    <x v="0"/>
    <x v="3"/>
    <m/>
    <m/>
    <m/>
    <m/>
    <m/>
    <n v="0.25900000000000001"/>
    <n v="259"/>
  </r>
  <r>
    <s v="Tubos"/>
    <x v="1"/>
    <x v="6"/>
    <x v="0"/>
    <x v="0"/>
    <x v="4"/>
    <m/>
    <m/>
    <m/>
    <m/>
    <m/>
    <n v="0.21460000000000001"/>
    <n v="214.60000000000002"/>
  </r>
  <r>
    <s v="Tubos"/>
    <x v="1"/>
    <x v="6"/>
    <x v="0"/>
    <x v="0"/>
    <x v="5"/>
    <m/>
    <m/>
    <m/>
    <m/>
    <m/>
    <n v="0.19425000000000001"/>
    <n v="194.25"/>
  </r>
  <r>
    <s v="Tubos"/>
    <x v="1"/>
    <x v="6"/>
    <x v="0"/>
    <x v="0"/>
    <x v="6"/>
    <m/>
    <m/>
    <m/>
    <m/>
    <m/>
    <n v="0.1739"/>
    <n v="173.9"/>
  </r>
  <r>
    <s v="Tubos"/>
    <x v="1"/>
    <x v="6"/>
    <x v="0"/>
    <x v="0"/>
    <x v="7"/>
    <m/>
    <m/>
    <m/>
    <m/>
    <m/>
    <n v="0.16095000000000001"/>
    <n v="160.95000000000002"/>
  </r>
  <r>
    <s v="Tubos"/>
    <x v="1"/>
    <x v="6"/>
    <x v="0"/>
    <x v="0"/>
    <x v="8"/>
    <m/>
    <m/>
    <m/>
    <m/>
    <m/>
    <n v="0.14799999999999999"/>
    <n v="148"/>
  </r>
  <r>
    <s v="Tubos"/>
    <x v="1"/>
    <x v="7"/>
    <x v="0"/>
    <x v="0"/>
    <x v="1"/>
    <m/>
    <m/>
    <m/>
    <m/>
    <m/>
    <n v="0.69374999999999998"/>
    <n v="693.75"/>
  </r>
  <r>
    <s v="Tubos"/>
    <x v="1"/>
    <x v="7"/>
    <x v="0"/>
    <x v="0"/>
    <x v="2"/>
    <m/>
    <m/>
    <m/>
    <m/>
    <m/>
    <n v="0.3478"/>
    <n v="347.8"/>
  </r>
  <r>
    <s v="Tubos"/>
    <x v="1"/>
    <x v="7"/>
    <x v="0"/>
    <x v="0"/>
    <x v="3"/>
    <m/>
    <m/>
    <m/>
    <m/>
    <m/>
    <n v="0.25345000000000001"/>
    <n v="253.45000000000002"/>
  </r>
  <r>
    <s v="Tubos"/>
    <x v="1"/>
    <x v="7"/>
    <x v="0"/>
    <x v="0"/>
    <x v="4"/>
    <m/>
    <m/>
    <m/>
    <m/>
    <m/>
    <n v="0.20720000000000002"/>
    <n v="207.20000000000002"/>
  </r>
  <r>
    <s v="Tubos"/>
    <x v="1"/>
    <x v="7"/>
    <x v="0"/>
    <x v="0"/>
    <x v="5"/>
    <m/>
    <m/>
    <m/>
    <m/>
    <m/>
    <n v="0.18130000000000002"/>
    <n v="181.3"/>
  </r>
  <r>
    <s v="Tubos"/>
    <x v="1"/>
    <x v="7"/>
    <x v="0"/>
    <x v="0"/>
    <x v="6"/>
    <m/>
    <m/>
    <m/>
    <m/>
    <m/>
    <n v="0.16465000000000002"/>
    <n v="164.65"/>
  </r>
  <r>
    <s v="Tubos"/>
    <x v="1"/>
    <x v="7"/>
    <x v="0"/>
    <x v="0"/>
    <x v="7"/>
    <m/>
    <m/>
    <m/>
    <m/>
    <m/>
    <n v="0.14984999999999998"/>
    <n v="149.85"/>
  </r>
  <r>
    <s v="Tubos"/>
    <x v="1"/>
    <x v="7"/>
    <x v="0"/>
    <x v="0"/>
    <x v="8"/>
    <m/>
    <m/>
    <m/>
    <m/>
    <m/>
    <n v="0.1406"/>
    <n v="140.6"/>
  </r>
  <r>
    <s v="Tubos"/>
    <x v="1"/>
    <x v="8"/>
    <x v="0"/>
    <x v="0"/>
    <x v="1"/>
    <m/>
    <m/>
    <m/>
    <m/>
    <m/>
    <n v="0.69374999999999998"/>
    <n v="693.75"/>
  </r>
  <r>
    <s v="Tubos"/>
    <x v="1"/>
    <x v="8"/>
    <x v="0"/>
    <x v="0"/>
    <x v="2"/>
    <m/>
    <m/>
    <m/>
    <m/>
    <m/>
    <n v="0.3478"/>
    <n v="347.8"/>
  </r>
  <r>
    <s v="Tubos"/>
    <x v="1"/>
    <x v="8"/>
    <x v="0"/>
    <x v="0"/>
    <x v="3"/>
    <m/>
    <m/>
    <m/>
    <m/>
    <m/>
    <n v="0.25345000000000001"/>
    <n v="253.45000000000002"/>
  </r>
  <r>
    <s v="Tubos"/>
    <x v="1"/>
    <x v="8"/>
    <x v="0"/>
    <x v="0"/>
    <x v="4"/>
    <m/>
    <m/>
    <m/>
    <m/>
    <m/>
    <n v="0.20720000000000002"/>
    <n v="207.20000000000002"/>
  </r>
  <r>
    <s v="Tubos"/>
    <x v="1"/>
    <x v="8"/>
    <x v="0"/>
    <x v="0"/>
    <x v="5"/>
    <m/>
    <m/>
    <m/>
    <m/>
    <m/>
    <n v="0.18130000000000002"/>
    <n v="181.3"/>
  </r>
  <r>
    <s v="Tubos"/>
    <x v="1"/>
    <x v="8"/>
    <x v="0"/>
    <x v="0"/>
    <x v="6"/>
    <m/>
    <m/>
    <m/>
    <m/>
    <m/>
    <n v="0.16465000000000002"/>
    <n v="164.65"/>
  </r>
  <r>
    <s v="Tubos"/>
    <x v="1"/>
    <x v="8"/>
    <x v="0"/>
    <x v="0"/>
    <x v="7"/>
    <m/>
    <m/>
    <m/>
    <m/>
    <m/>
    <n v="0.14984999999999998"/>
    <n v="149.85"/>
  </r>
  <r>
    <s v="Tubos"/>
    <x v="1"/>
    <x v="8"/>
    <x v="0"/>
    <x v="0"/>
    <x v="8"/>
    <m/>
    <m/>
    <m/>
    <m/>
    <m/>
    <n v="0.1406"/>
    <n v="140.6"/>
  </r>
  <r>
    <s v="Tubos"/>
    <x v="2"/>
    <x v="0"/>
    <x v="0"/>
    <x v="0"/>
    <x v="0"/>
    <m/>
    <m/>
    <m/>
    <m/>
    <m/>
    <n v="0.40329999999999999"/>
    <n v="403.3"/>
  </r>
  <r>
    <s v="Tubos"/>
    <x v="2"/>
    <x v="1"/>
    <x v="0"/>
    <x v="0"/>
    <x v="1"/>
    <m/>
    <m/>
    <m/>
    <m/>
    <m/>
    <n v="0.69374999999999998"/>
    <n v="693.75"/>
  </r>
  <r>
    <s v="Tubos"/>
    <x v="2"/>
    <x v="1"/>
    <x v="0"/>
    <x v="0"/>
    <x v="2"/>
    <m/>
    <m/>
    <m/>
    <m/>
    <m/>
    <n v="0.38850000000000001"/>
    <n v="388.5"/>
  </r>
  <r>
    <s v="Tubos"/>
    <x v="2"/>
    <x v="1"/>
    <x v="0"/>
    <x v="0"/>
    <x v="3"/>
    <m/>
    <m/>
    <m/>
    <m/>
    <m/>
    <n v="0.28860000000000002"/>
    <n v="288.60000000000002"/>
  </r>
  <r>
    <s v="Tubos"/>
    <x v="2"/>
    <x v="1"/>
    <x v="0"/>
    <x v="0"/>
    <x v="4"/>
    <m/>
    <m/>
    <m/>
    <m/>
    <m/>
    <n v="0.27010000000000001"/>
    <n v="270.10000000000002"/>
  </r>
  <r>
    <s v="Tubos"/>
    <x v="2"/>
    <x v="1"/>
    <x v="0"/>
    <x v="0"/>
    <x v="5"/>
    <m/>
    <m/>
    <m/>
    <m/>
    <m/>
    <n v="0.23495000000000002"/>
    <n v="234.95000000000002"/>
  </r>
  <r>
    <s v="Tubos"/>
    <x v="2"/>
    <x v="1"/>
    <x v="0"/>
    <x v="0"/>
    <x v="6"/>
    <m/>
    <m/>
    <m/>
    <m/>
    <m/>
    <n v="0.20720000000000002"/>
    <n v="207.20000000000002"/>
  </r>
  <r>
    <s v="Tubos"/>
    <x v="2"/>
    <x v="2"/>
    <x v="0"/>
    <x v="0"/>
    <x v="1"/>
    <m/>
    <m/>
    <m/>
    <m/>
    <m/>
    <n v="0.69374999999999998"/>
    <n v="693.75"/>
  </r>
  <r>
    <s v="Tubos"/>
    <x v="2"/>
    <x v="2"/>
    <x v="0"/>
    <x v="0"/>
    <x v="2"/>
    <m/>
    <m/>
    <m/>
    <m/>
    <m/>
    <n v="0.38295000000000007"/>
    <n v="382.95000000000005"/>
  </r>
  <r>
    <s v="Tubos"/>
    <x v="2"/>
    <x v="2"/>
    <x v="0"/>
    <x v="0"/>
    <x v="3"/>
    <m/>
    <m/>
    <m/>
    <m/>
    <m/>
    <n v="0.28305000000000002"/>
    <n v="283.05"/>
  </r>
  <r>
    <s v="Tubos"/>
    <x v="2"/>
    <x v="2"/>
    <x v="0"/>
    <x v="0"/>
    <x v="4"/>
    <m/>
    <m/>
    <m/>
    <m/>
    <m/>
    <n v="0.24420000000000003"/>
    <n v="244.20000000000002"/>
  </r>
  <r>
    <s v="Tubos"/>
    <x v="2"/>
    <x v="2"/>
    <x v="0"/>
    <x v="0"/>
    <x v="5"/>
    <m/>
    <m/>
    <m/>
    <m/>
    <m/>
    <n v="0.21645"/>
    <n v="216.45000000000002"/>
  </r>
  <r>
    <s v="Tubos"/>
    <x v="2"/>
    <x v="2"/>
    <x v="0"/>
    <x v="0"/>
    <x v="6"/>
    <m/>
    <m/>
    <m/>
    <m/>
    <m/>
    <n v="0.19795000000000001"/>
    <n v="197.95000000000002"/>
  </r>
  <r>
    <s v="Tubos"/>
    <x v="2"/>
    <x v="2"/>
    <x v="0"/>
    <x v="0"/>
    <x v="7"/>
    <m/>
    <m/>
    <m/>
    <m/>
    <m/>
    <n v="0.17760000000000004"/>
    <n v="177.60000000000002"/>
  </r>
  <r>
    <s v="Tubos"/>
    <x v="2"/>
    <x v="2"/>
    <x v="0"/>
    <x v="0"/>
    <x v="8"/>
    <m/>
    <m/>
    <m/>
    <m/>
    <m/>
    <n v="0.16465000000000002"/>
    <n v="164.65"/>
  </r>
  <r>
    <s v="Tubos"/>
    <x v="2"/>
    <x v="3"/>
    <x v="0"/>
    <x v="0"/>
    <x v="1"/>
    <m/>
    <m/>
    <m/>
    <m/>
    <m/>
    <n v="0.69374999999999998"/>
    <n v="693.75"/>
  </r>
  <r>
    <s v="Tubos"/>
    <x v="2"/>
    <x v="3"/>
    <x v="0"/>
    <x v="0"/>
    <x v="2"/>
    <m/>
    <m/>
    <m/>
    <m/>
    <m/>
    <n v="0.37740000000000001"/>
    <n v="377.40000000000003"/>
  </r>
  <r>
    <s v="Tubos"/>
    <x v="2"/>
    <x v="3"/>
    <x v="0"/>
    <x v="0"/>
    <x v="3"/>
    <m/>
    <m/>
    <m/>
    <m/>
    <m/>
    <n v="0.27565000000000006"/>
    <n v="275.65000000000003"/>
  </r>
  <r>
    <s v="Tubos"/>
    <x v="2"/>
    <x v="3"/>
    <x v="0"/>
    <x v="0"/>
    <x v="4"/>
    <m/>
    <m/>
    <m/>
    <m/>
    <m/>
    <n v="0.23495000000000002"/>
    <n v="234.95000000000002"/>
  </r>
  <r>
    <s v="Tubos"/>
    <x v="2"/>
    <x v="3"/>
    <x v="0"/>
    <x v="0"/>
    <x v="5"/>
    <m/>
    <m/>
    <m/>
    <m/>
    <m/>
    <n v="0.21274999999999999"/>
    <n v="212.75"/>
  </r>
  <r>
    <s v="Tubos"/>
    <x v="2"/>
    <x v="3"/>
    <x v="0"/>
    <x v="0"/>
    <x v="6"/>
    <m/>
    <m/>
    <m/>
    <m/>
    <m/>
    <n v="0.18870000000000001"/>
    <n v="188.70000000000002"/>
  </r>
  <r>
    <s v="Tubos"/>
    <x v="2"/>
    <x v="4"/>
    <x v="0"/>
    <x v="0"/>
    <x v="1"/>
    <m/>
    <m/>
    <m/>
    <m/>
    <m/>
    <n v="0.69374999999999998"/>
    <n v="693.75"/>
  </r>
  <r>
    <s v="Tubos"/>
    <x v="2"/>
    <x v="4"/>
    <x v="0"/>
    <x v="0"/>
    <x v="2"/>
    <m/>
    <m/>
    <m/>
    <m/>
    <m/>
    <n v="0.36815000000000003"/>
    <n v="368.15000000000003"/>
  </r>
  <r>
    <s v="Tubos"/>
    <x v="2"/>
    <x v="4"/>
    <x v="0"/>
    <x v="0"/>
    <x v="3"/>
    <m/>
    <m/>
    <m/>
    <m/>
    <m/>
    <n v="0.26824999999999999"/>
    <n v="268.25"/>
  </r>
  <r>
    <s v="Tubos"/>
    <x v="2"/>
    <x v="4"/>
    <x v="0"/>
    <x v="0"/>
    <x v="4"/>
    <m/>
    <m/>
    <m/>
    <m/>
    <m/>
    <n v="0.222"/>
    <n v="222"/>
  </r>
  <r>
    <s v="Tubos"/>
    <x v="2"/>
    <x v="4"/>
    <x v="0"/>
    <x v="0"/>
    <x v="5"/>
    <m/>
    <m/>
    <m/>
    <m/>
    <m/>
    <n v="0.20535000000000003"/>
    <n v="205.35000000000002"/>
  </r>
  <r>
    <s v="Tubos"/>
    <x v="2"/>
    <x v="4"/>
    <x v="0"/>
    <x v="0"/>
    <x v="6"/>
    <m/>
    <m/>
    <m/>
    <m/>
    <m/>
    <n v="0.18130000000000002"/>
    <n v="181.3"/>
  </r>
  <r>
    <s v="Tubos"/>
    <x v="2"/>
    <x v="4"/>
    <x v="0"/>
    <x v="0"/>
    <x v="7"/>
    <m/>
    <m/>
    <m/>
    <m/>
    <m/>
    <n v="0.16835"/>
    <n v="168.35"/>
  </r>
  <r>
    <s v="Tubos"/>
    <x v="2"/>
    <x v="4"/>
    <x v="0"/>
    <x v="0"/>
    <x v="8"/>
    <m/>
    <m/>
    <m/>
    <m/>
    <m/>
    <n v="0.15540000000000001"/>
    <n v="155.4"/>
  </r>
  <r>
    <s v="Tubos"/>
    <x v="2"/>
    <x v="5"/>
    <x v="0"/>
    <x v="0"/>
    <x v="1"/>
    <m/>
    <m/>
    <m/>
    <m/>
    <m/>
    <n v="0.69374999999999998"/>
    <n v="693.75"/>
  </r>
  <r>
    <s v="Tubos"/>
    <x v="2"/>
    <x v="5"/>
    <x v="0"/>
    <x v="0"/>
    <x v="2"/>
    <m/>
    <m/>
    <m/>
    <m/>
    <m/>
    <n v="0.35705000000000003"/>
    <n v="357.05"/>
  </r>
  <r>
    <s v="Tubos"/>
    <x v="2"/>
    <x v="5"/>
    <x v="0"/>
    <x v="0"/>
    <x v="3"/>
    <m/>
    <m/>
    <m/>
    <m/>
    <m/>
    <n v="0.25900000000000001"/>
    <n v="259"/>
  </r>
  <r>
    <s v="Tubos"/>
    <x v="2"/>
    <x v="5"/>
    <x v="0"/>
    <x v="0"/>
    <x v="4"/>
    <m/>
    <m/>
    <m/>
    <m/>
    <m/>
    <n v="0.21460000000000001"/>
    <n v="214.60000000000002"/>
  </r>
  <r>
    <s v="Tubos"/>
    <x v="2"/>
    <x v="5"/>
    <x v="0"/>
    <x v="0"/>
    <x v="5"/>
    <m/>
    <m/>
    <m/>
    <m/>
    <m/>
    <n v="0.19425000000000001"/>
    <n v="194.25"/>
  </r>
  <r>
    <s v="Tubos"/>
    <x v="2"/>
    <x v="5"/>
    <x v="0"/>
    <x v="0"/>
    <x v="6"/>
    <m/>
    <m/>
    <m/>
    <m/>
    <m/>
    <n v="0.1739"/>
    <n v="173.9"/>
  </r>
  <r>
    <s v="Tubos"/>
    <x v="2"/>
    <x v="5"/>
    <x v="0"/>
    <x v="0"/>
    <x v="7"/>
    <m/>
    <m/>
    <m/>
    <m/>
    <m/>
    <n v="0.16095000000000001"/>
    <n v="160.95000000000002"/>
  </r>
  <r>
    <s v="Tubos"/>
    <x v="2"/>
    <x v="5"/>
    <x v="0"/>
    <x v="0"/>
    <x v="8"/>
    <m/>
    <m/>
    <m/>
    <m/>
    <m/>
    <n v="0.14799999999999999"/>
    <n v="148"/>
  </r>
  <r>
    <s v="Tubos"/>
    <x v="2"/>
    <x v="6"/>
    <x v="0"/>
    <x v="0"/>
    <x v="1"/>
    <m/>
    <m/>
    <m/>
    <m/>
    <m/>
    <n v="0.69374999999999998"/>
    <n v="693.75"/>
  </r>
  <r>
    <s v="Tubos"/>
    <x v="2"/>
    <x v="6"/>
    <x v="0"/>
    <x v="0"/>
    <x v="2"/>
    <m/>
    <m/>
    <m/>
    <m/>
    <m/>
    <n v="0.35705000000000003"/>
    <n v="357.05"/>
  </r>
  <r>
    <s v="Tubos"/>
    <x v="2"/>
    <x v="6"/>
    <x v="0"/>
    <x v="0"/>
    <x v="3"/>
    <m/>
    <m/>
    <m/>
    <m/>
    <m/>
    <n v="0.25900000000000001"/>
    <n v="259"/>
  </r>
  <r>
    <s v="Tubos"/>
    <x v="2"/>
    <x v="6"/>
    <x v="0"/>
    <x v="0"/>
    <x v="4"/>
    <m/>
    <m/>
    <m/>
    <m/>
    <m/>
    <n v="0.21460000000000001"/>
    <n v="214.60000000000002"/>
  </r>
  <r>
    <s v="Tubos"/>
    <x v="2"/>
    <x v="6"/>
    <x v="0"/>
    <x v="0"/>
    <x v="5"/>
    <m/>
    <m/>
    <m/>
    <m/>
    <m/>
    <n v="0.19425000000000001"/>
    <n v="194.25"/>
  </r>
  <r>
    <s v="Tubos"/>
    <x v="2"/>
    <x v="6"/>
    <x v="0"/>
    <x v="0"/>
    <x v="6"/>
    <m/>
    <m/>
    <m/>
    <m/>
    <m/>
    <n v="0.1739"/>
    <n v="173.9"/>
  </r>
  <r>
    <s v="Tubos"/>
    <x v="2"/>
    <x v="6"/>
    <x v="0"/>
    <x v="0"/>
    <x v="7"/>
    <m/>
    <m/>
    <m/>
    <m/>
    <m/>
    <n v="0.16095000000000001"/>
    <n v="160.95000000000002"/>
  </r>
  <r>
    <s v="Tubos"/>
    <x v="2"/>
    <x v="6"/>
    <x v="0"/>
    <x v="0"/>
    <x v="8"/>
    <m/>
    <m/>
    <m/>
    <m/>
    <m/>
    <n v="0.14799999999999999"/>
    <n v="148"/>
  </r>
  <r>
    <s v="Tubos"/>
    <x v="2"/>
    <x v="7"/>
    <x v="0"/>
    <x v="0"/>
    <x v="1"/>
    <m/>
    <m/>
    <m/>
    <m/>
    <m/>
    <n v="0.69374999999999998"/>
    <n v="693.75"/>
  </r>
  <r>
    <s v="Tubos"/>
    <x v="2"/>
    <x v="7"/>
    <x v="0"/>
    <x v="0"/>
    <x v="2"/>
    <m/>
    <m/>
    <m/>
    <m/>
    <m/>
    <n v="0.3478"/>
    <n v="347.8"/>
  </r>
  <r>
    <s v="Tubos"/>
    <x v="2"/>
    <x v="7"/>
    <x v="0"/>
    <x v="0"/>
    <x v="3"/>
    <m/>
    <m/>
    <m/>
    <m/>
    <m/>
    <n v="0.25345000000000001"/>
    <n v="253.45000000000002"/>
  </r>
  <r>
    <s v="Tubos"/>
    <x v="2"/>
    <x v="7"/>
    <x v="0"/>
    <x v="0"/>
    <x v="4"/>
    <m/>
    <m/>
    <m/>
    <m/>
    <m/>
    <n v="0.20720000000000002"/>
    <n v="207.20000000000002"/>
  </r>
  <r>
    <s v="Tubos"/>
    <x v="2"/>
    <x v="7"/>
    <x v="0"/>
    <x v="0"/>
    <x v="5"/>
    <m/>
    <m/>
    <m/>
    <m/>
    <m/>
    <n v="0.18130000000000002"/>
    <n v="181.3"/>
  </r>
  <r>
    <s v="Tubos"/>
    <x v="2"/>
    <x v="7"/>
    <x v="0"/>
    <x v="0"/>
    <x v="6"/>
    <m/>
    <m/>
    <m/>
    <m/>
    <m/>
    <n v="0.16465000000000002"/>
    <n v="164.65"/>
  </r>
  <r>
    <s v="Tubos"/>
    <x v="2"/>
    <x v="7"/>
    <x v="0"/>
    <x v="0"/>
    <x v="7"/>
    <m/>
    <m/>
    <m/>
    <m/>
    <m/>
    <n v="0.14984999999999998"/>
    <n v="149.85"/>
  </r>
  <r>
    <s v="Tubos"/>
    <x v="2"/>
    <x v="7"/>
    <x v="0"/>
    <x v="0"/>
    <x v="8"/>
    <m/>
    <m/>
    <m/>
    <m/>
    <m/>
    <n v="0.1406"/>
    <n v="140.6"/>
  </r>
  <r>
    <s v="Tubos"/>
    <x v="2"/>
    <x v="8"/>
    <x v="0"/>
    <x v="0"/>
    <x v="1"/>
    <m/>
    <m/>
    <m/>
    <m/>
    <m/>
    <n v="0.69374999999999998"/>
    <n v="693.75"/>
  </r>
  <r>
    <s v="Tubos"/>
    <x v="2"/>
    <x v="8"/>
    <x v="0"/>
    <x v="0"/>
    <x v="2"/>
    <m/>
    <m/>
    <m/>
    <m/>
    <m/>
    <n v="0.3478"/>
    <n v="347.8"/>
  </r>
  <r>
    <s v="Tubos"/>
    <x v="2"/>
    <x v="8"/>
    <x v="0"/>
    <x v="0"/>
    <x v="3"/>
    <m/>
    <m/>
    <m/>
    <m/>
    <m/>
    <n v="0.25345000000000001"/>
    <n v="253.45000000000002"/>
  </r>
  <r>
    <s v="Tubos"/>
    <x v="2"/>
    <x v="8"/>
    <x v="0"/>
    <x v="0"/>
    <x v="4"/>
    <m/>
    <m/>
    <m/>
    <m/>
    <m/>
    <n v="0.20720000000000002"/>
    <n v="207.20000000000002"/>
  </r>
  <r>
    <s v="Tubos"/>
    <x v="2"/>
    <x v="8"/>
    <x v="0"/>
    <x v="0"/>
    <x v="5"/>
    <m/>
    <m/>
    <m/>
    <m/>
    <m/>
    <n v="0.18130000000000002"/>
    <n v="181.3"/>
  </r>
  <r>
    <s v="Tubos"/>
    <x v="2"/>
    <x v="8"/>
    <x v="0"/>
    <x v="0"/>
    <x v="6"/>
    <m/>
    <m/>
    <m/>
    <m/>
    <m/>
    <n v="0.16465000000000002"/>
    <n v="164.65"/>
  </r>
  <r>
    <s v="Tubos"/>
    <x v="2"/>
    <x v="8"/>
    <x v="0"/>
    <x v="0"/>
    <x v="7"/>
    <m/>
    <m/>
    <m/>
    <m/>
    <m/>
    <n v="0.14984999999999998"/>
    <n v="149.85"/>
  </r>
  <r>
    <s v="Tubos"/>
    <x v="2"/>
    <x v="8"/>
    <x v="0"/>
    <x v="0"/>
    <x v="8"/>
    <m/>
    <m/>
    <m/>
    <m/>
    <m/>
    <n v="0.1406"/>
    <n v="140.6"/>
  </r>
  <r>
    <s v="Tubos"/>
    <x v="3"/>
    <x v="0"/>
    <x v="0"/>
    <x v="0"/>
    <x v="0"/>
    <m/>
    <m/>
    <m/>
    <m/>
    <m/>
    <n v="0.30519999999999997"/>
    <n v="305.2"/>
  </r>
  <r>
    <s v="Tubos"/>
    <x v="3"/>
    <x v="1"/>
    <x v="0"/>
    <x v="0"/>
    <x v="1"/>
    <m/>
    <m/>
    <m/>
    <m/>
    <m/>
    <n v="0.52500000000000002"/>
    <n v="525"/>
  </r>
  <r>
    <s v="Tubos"/>
    <x v="3"/>
    <x v="1"/>
    <x v="0"/>
    <x v="0"/>
    <x v="2"/>
    <m/>
    <m/>
    <m/>
    <m/>
    <m/>
    <n v="0.29399999999999998"/>
    <n v="294"/>
  </r>
  <r>
    <s v="Tubos"/>
    <x v="3"/>
    <x v="1"/>
    <x v="0"/>
    <x v="0"/>
    <x v="3"/>
    <m/>
    <m/>
    <m/>
    <m/>
    <m/>
    <n v="0.21839999999999998"/>
    <n v="218.39999999999998"/>
  </r>
  <r>
    <s v="Tubos"/>
    <x v="3"/>
    <x v="1"/>
    <x v="0"/>
    <x v="0"/>
    <x v="4"/>
    <m/>
    <m/>
    <m/>
    <m/>
    <m/>
    <n v="0.20439999999999997"/>
    <n v="204.39999999999998"/>
  </r>
  <r>
    <s v="Tubos"/>
    <x v="3"/>
    <x v="1"/>
    <x v="0"/>
    <x v="0"/>
    <x v="5"/>
    <m/>
    <m/>
    <m/>
    <m/>
    <m/>
    <n v="0.17779999999999999"/>
    <n v="177.79999999999998"/>
  </r>
  <r>
    <s v="Tubos"/>
    <x v="3"/>
    <x v="1"/>
    <x v="0"/>
    <x v="0"/>
    <x v="6"/>
    <m/>
    <m/>
    <m/>
    <m/>
    <m/>
    <n v="0.15679999999999999"/>
    <n v="156.79999999999998"/>
  </r>
  <r>
    <s v="Tubos"/>
    <x v="3"/>
    <x v="2"/>
    <x v="0"/>
    <x v="0"/>
    <x v="1"/>
    <m/>
    <m/>
    <m/>
    <m/>
    <m/>
    <n v="0.52500000000000002"/>
    <n v="525"/>
  </r>
  <r>
    <s v="Tubos"/>
    <x v="3"/>
    <x v="2"/>
    <x v="0"/>
    <x v="0"/>
    <x v="2"/>
    <m/>
    <m/>
    <m/>
    <m/>
    <m/>
    <n v="0.28979999999999995"/>
    <n v="289.79999999999995"/>
  </r>
  <r>
    <s v="Tubos"/>
    <x v="3"/>
    <x v="2"/>
    <x v="0"/>
    <x v="0"/>
    <x v="3"/>
    <m/>
    <m/>
    <m/>
    <m/>
    <m/>
    <n v="0.2142"/>
    <n v="214.2"/>
  </r>
  <r>
    <s v="Tubos"/>
    <x v="3"/>
    <x v="2"/>
    <x v="0"/>
    <x v="0"/>
    <x v="4"/>
    <m/>
    <m/>
    <m/>
    <m/>
    <m/>
    <n v="0.18479999999999999"/>
    <n v="184.79999999999998"/>
  </r>
  <r>
    <s v="Tubos"/>
    <x v="3"/>
    <x v="2"/>
    <x v="0"/>
    <x v="0"/>
    <x v="5"/>
    <m/>
    <m/>
    <m/>
    <m/>
    <m/>
    <n v="0.16379999999999997"/>
    <n v="163.79999999999998"/>
  </r>
  <r>
    <s v="Tubos"/>
    <x v="3"/>
    <x v="2"/>
    <x v="0"/>
    <x v="0"/>
    <x v="6"/>
    <m/>
    <m/>
    <m/>
    <m/>
    <m/>
    <n v="0.14979999999999999"/>
    <n v="149.79999999999998"/>
  </r>
  <r>
    <s v="Tubos"/>
    <x v="3"/>
    <x v="2"/>
    <x v="0"/>
    <x v="0"/>
    <x v="7"/>
    <m/>
    <m/>
    <m/>
    <m/>
    <m/>
    <n v="0.13439999999999996"/>
    <n v="134.39999999999998"/>
  </r>
  <r>
    <s v="Tubos"/>
    <x v="3"/>
    <x v="2"/>
    <x v="0"/>
    <x v="0"/>
    <x v="8"/>
    <m/>
    <m/>
    <m/>
    <m/>
    <m/>
    <n v="0.12459999999999999"/>
    <n v="124.6"/>
  </r>
  <r>
    <s v="Tubos"/>
    <x v="3"/>
    <x v="3"/>
    <x v="0"/>
    <x v="0"/>
    <x v="1"/>
    <m/>
    <m/>
    <m/>
    <m/>
    <m/>
    <n v="0.52500000000000002"/>
    <n v="525"/>
  </r>
  <r>
    <s v="Tubos"/>
    <x v="3"/>
    <x v="3"/>
    <x v="0"/>
    <x v="0"/>
    <x v="2"/>
    <m/>
    <m/>
    <m/>
    <m/>
    <m/>
    <n v="0.28559999999999997"/>
    <n v="285.59999999999997"/>
  </r>
  <r>
    <s v="Tubos"/>
    <x v="3"/>
    <x v="3"/>
    <x v="0"/>
    <x v="0"/>
    <x v="3"/>
    <m/>
    <m/>
    <m/>
    <m/>
    <m/>
    <n v="0.20860000000000001"/>
    <n v="208.6"/>
  </r>
  <r>
    <s v="Tubos"/>
    <x v="3"/>
    <x v="3"/>
    <x v="0"/>
    <x v="0"/>
    <x v="4"/>
    <m/>
    <m/>
    <m/>
    <m/>
    <m/>
    <n v="0.17779999999999999"/>
    <n v="177.79999999999998"/>
  </r>
  <r>
    <s v="Tubos"/>
    <x v="3"/>
    <x v="3"/>
    <x v="0"/>
    <x v="0"/>
    <x v="5"/>
    <m/>
    <m/>
    <m/>
    <m/>
    <m/>
    <n v="0.161"/>
    <n v="161"/>
  </r>
  <r>
    <s v="Tubos"/>
    <x v="3"/>
    <x v="3"/>
    <x v="0"/>
    <x v="0"/>
    <x v="6"/>
    <m/>
    <m/>
    <m/>
    <m/>
    <m/>
    <n v="0.14279999999999998"/>
    <n v="142.79999999999998"/>
  </r>
  <r>
    <s v="Tubos"/>
    <x v="3"/>
    <x v="4"/>
    <x v="0"/>
    <x v="0"/>
    <x v="1"/>
    <m/>
    <m/>
    <m/>
    <m/>
    <m/>
    <n v="0.52500000000000002"/>
    <n v="525"/>
  </r>
  <r>
    <s v="Tubos"/>
    <x v="3"/>
    <x v="4"/>
    <x v="0"/>
    <x v="0"/>
    <x v="2"/>
    <m/>
    <m/>
    <m/>
    <m/>
    <m/>
    <n v="0.27859999999999996"/>
    <n v="278.59999999999997"/>
  </r>
  <r>
    <s v="Tubos"/>
    <x v="3"/>
    <x v="4"/>
    <x v="0"/>
    <x v="0"/>
    <x v="3"/>
    <m/>
    <m/>
    <m/>
    <m/>
    <m/>
    <n v="0.20300000000000001"/>
    <n v="203"/>
  </r>
  <r>
    <s v="Tubos"/>
    <x v="3"/>
    <x v="4"/>
    <x v="0"/>
    <x v="0"/>
    <x v="4"/>
    <m/>
    <m/>
    <m/>
    <m/>
    <m/>
    <n v="0.16800000000000001"/>
    <n v="168"/>
  </r>
  <r>
    <s v="Tubos"/>
    <x v="3"/>
    <x v="4"/>
    <x v="0"/>
    <x v="0"/>
    <x v="5"/>
    <m/>
    <m/>
    <m/>
    <m/>
    <m/>
    <n v="0.15539999999999998"/>
    <n v="155.39999999999998"/>
  </r>
  <r>
    <s v="Tubos"/>
    <x v="3"/>
    <x v="4"/>
    <x v="0"/>
    <x v="0"/>
    <x v="6"/>
    <m/>
    <m/>
    <m/>
    <m/>
    <m/>
    <n v="0.13719999999999999"/>
    <n v="137.19999999999999"/>
  </r>
  <r>
    <s v="Tubos"/>
    <x v="3"/>
    <x v="4"/>
    <x v="0"/>
    <x v="0"/>
    <x v="7"/>
    <m/>
    <m/>
    <m/>
    <m/>
    <m/>
    <n v="0.12739999999999999"/>
    <n v="127.39999999999999"/>
  </r>
  <r>
    <s v="Tubos"/>
    <x v="3"/>
    <x v="4"/>
    <x v="0"/>
    <x v="0"/>
    <x v="8"/>
    <m/>
    <m/>
    <m/>
    <m/>
    <m/>
    <n v="0.1176"/>
    <n v="117.6"/>
  </r>
  <r>
    <s v="Tubos"/>
    <x v="3"/>
    <x v="5"/>
    <x v="0"/>
    <x v="0"/>
    <x v="1"/>
    <m/>
    <m/>
    <m/>
    <m/>
    <m/>
    <n v="0.52500000000000002"/>
    <n v="525"/>
  </r>
  <r>
    <s v="Tubos"/>
    <x v="3"/>
    <x v="5"/>
    <x v="0"/>
    <x v="0"/>
    <x v="2"/>
    <m/>
    <m/>
    <m/>
    <m/>
    <m/>
    <n v="0.2702"/>
    <n v="270.2"/>
  </r>
  <r>
    <s v="Tubos"/>
    <x v="3"/>
    <x v="5"/>
    <x v="0"/>
    <x v="0"/>
    <x v="3"/>
    <m/>
    <m/>
    <m/>
    <m/>
    <m/>
    <n v="0.19600000000000001"/>
    <n v="196"/>
  </r>
  <r>
    <s v="Tubos"/>
    <x v="3"/>
    <x v="5"/>
    <x v="0"/>
    <x v="0"/>
    <x v="4"/>
    <m/>
    <m/>
    <m/>
    <m/>
    <m/>
    <n v="0.16239999999999999"/>
    <n v="162.39999999999998"/>
  </r>
  <r>
    <s v="Tubos"/>
    <x v="3"/>
    <x v="5"/>
    <x v="0"/>
    <x v="0"/>
    <x v="5"/>
    <m/>
    <m/>
    <m/>
    <m/>
    <m/>
    <n v="0.14699999999999999"/>
    <n v="147"/>
  </r>
  <r>
    <s v="Tubos"/>
    <x v="3"/>
    <x v="5"/>
    <x v="0"/>
    <x v="0"/>
    <x v="6"/>
    <m/>
    <m/>
    <m/>
    <m/>
    <m/>
    <n v="0.13159999999999999"/>
    <n v="131.6"/>
  </r>
  <r>
    <s v="Tubos"/>
    <x v="3"/>
    <x v="5"/>
    <x v="0"/>
    <x v="0"/>
    <x v="7"/>
    <m/>
    <m/>
    <m/>
    <m/>
    <m/>
    <n v="0.12179999999999999"/>
    <n v="121.8"/>
  </r>
  <r>
    <s v="Tubos"/>
    <x v="3"/>
    <x v="5"/>
    <x v="0"/>
    <x v="0"/>
    <x v="8"/>
    <m/>
    <m/>
    <m/>
    <m/>
    <m/>
    <n v="0.112"/>
    <n v="112"/>
  </r>
  <r>
    <s v="Tubos"/>
    <x v="3"/>
    <x v="6"/>
    <x v="0"/>
    <x v="0"/>
    <x v="1"/>
    <m/>
    <m/>
    <m/>
    <m/>
    <m/>
    <n v="0.52500000000000002"/>
    <n v="525"/>
  </r>
  <r>
    <s v="Tubos"/>
    <x v="3"/>
    <x v="6"/>
    <x v="0"/>
    <x v="0"/>
    <x v="2"/>
    <m/>
    <m/>
    <m/>
    <m/>
    <m/>
    <n v="0.2702"/>
    <n v="270.2"/>
  </r>
  <r>
    <s v="Tubos"/>
    <x v="3"/>
    <x v="6"/>
    <x v="0"/>
    <x v="0"/>
    <x v="3"/>
    <m/>
    <m/>
    <m/>
    <m/>
    <m/>
    <n v="0.19600000000000001"/>
    <n v="196"/>
  </r>
  <r>
    <s v="Tubos"/>
    <x v="3"/>
    <x v="6"/>
    <x v="0"/>
    <x v="0"/>
    <x v="4"/>
    <m/>
    <m/>
    <m/>
    <m/>
    <m/>
    <n v="0.16239999999999999"/>
    <n v="162.39999999999998"/>
  </r>
  <r>
    <s v="Tubos"/>
    <x v="3"/>
    <x v="6"/>
    <x v="0"/>
    <x v="0"/>
    <x v="5"/>
    <m/>
    <m/>
    <m/>
    <m/>
    <m/>
    <n v="0.14699999999999999"/>
    <n v="147"/>
  </r>
  <r>
    <s v="Tubos"/>
    <x v="3"/>
    <x v="6"/>
    <x v="0"/>
    <x v="0"/>
    <x v="6"/>
    <m/>
    <m/>
    <m/>
    <m/>
    <m/>
    <n v="0.13159999999999999"/>
    <n v="131.6"/>
  </r>
  <r>
    <s v="Tubos"/>
    <x v="3"/>
    <x v="6"/>
    <x v="0"/>
    <x v="0"/>
    <x v="7"/>
    <m/>
    <m/>
    <m/>
    <m/>
    <m/>
    <n v="0.12179999999999999"/>
    <n v="121.8"/>
  </r>
  <r>
    <s v="Tubos"/>
    <x v="3"/>
    <x v="6"/>
    <x v="0"/>
    <x v="0"/>
    <x v="8"/>
    <m/>
    <m/>
    <m/>
    <m/>
    <m/>
    <n v="0.112"/>
    <n v="112"/>
  </r>
  <r>
    <s v="Tubos"/>
    <x v="3"/>
    <x v="7"/>
    <x v="0"/>
    <x v="0"/>
    <x v="1"/>
    <m/>
    <m/>
    <m/>
    <m/>
    <m/>
    <n v="0.52500000000000002"/>
    <n v="525"/>
  </r>
  <r>
    <s v="Tubos"/>
    <x v="3"/>
    <x v="7"/>
    <x v="0"/>
    <x v="0"/>
    <x v="2"/>
    <m/>
    <m/>
    <m/>
    <m/>
    <m/>
    <n v="0.26319999999999999"/>
    <n v="263.2"/>
  </r>
  <r>
    <s v="Tubos"/>
    <x v="3"/>
    <x v="7"/>
    <x v="0"/>
    <x v="0"/>
    <x v="3"/>
    <m/>
    <m/>
    <m/>
    <m/>
    <m/>
    <n v="0.19179999999999997"/>
    <n v="191.79999999999998"/>
  </r>
  <r>
    <s v="Tubos"/>
    <x v="3"/>
    <x v="7"/>
    <x v="0"/>
    <x v="0"/>
    <x v="4"/>
    <m/>
    <m/>
    <m/>
    <m/>
    <m/>
    <n v="0.15679999999999999"/>
    <n v="156.79999999999998"/>
  </r>
  <r>
    <s v="Tubos"/>
    <x v="3"/>
    <x v="7"/>
    <x v="0"/>
    <x v="0"/>
    <x v="5"/>
    <m/>
    <m/>
    <m/>
    <m/>
    <m/>
    <n v="0.13719999999999999"/>
    <n v="137.19999999999999"/>
  </r>
  <r>
    <s v="Tubos"/>
    <x v="3"/>
    <x v="7"/>
    <x v="0"/>
    <x v="0"/>
    <x v="6"/>
    <m/>
    <m/>
    <m/>
    <m/>
    <m/>
    <n v="0.12459999999999999"/>
    <n v="124.6"/>
  </r>
  <r>
    <s v="Tubos"/>
    <x v="3"/>
    <x v="7"/>
    <x v="0"/>
    <x v="0"/>
    <x v="7"/>
    <m/>
    <m/>
    <m/>
    <m/>
    <m/>
    <n v="0.11339999999999999"/>
    <n v="113.39999999999999"/>
  </r>
  <r>
    <s v="Tubos"/>
    <x v="3"/>
    <x v="7"/>
    <x v="0"/>
    <x v="0"/>
    <x v="8"/>
    <m/>
    <m/>
    <m/>
    <m/>
    <m/>
    <n v="0.10639999999999999"/>
    <n v="106.39999999999999"/>
  </r>
  <r>
    <s v="Tubos"/>
    <x v="3"/>
    <x v="8"/>
    <x v="0"/>
    <x v="0"/>
    <x v="1"/>
    <m/>
    <m/>
    <m/>
    <m/>
    <m/>
    <n v="0.52500000000000002"/>
    <n v="525"/>
  </r>
  <r>
    <s v="Tubos"/>
    <x v="3"/>
    <x v="8"/>
    <x v="0"/>
    <x v="0"/>
    <x v="2"/>
    <m/>
    <m/>
    <m/>
    <m/>
    <m/>
    <n v="0.26319999999999999"/>
    <n v="263.2"/>
  </r>
  <r>
    <s v="Tubos"/>
    <x v="3"/>
    <x v="8"/>
    <x v="0"/>
    <x v="0"/>
    <x v="3"/>
    <m/>
    <m/>
    <m/>
    <m/>
    <m/>
    <n v="0.19179999999999997"/>
    <n v="191.79999999999998"/>
  </r>
  <r>
    <s v="Tubos"/>
    <x v="3"/>
    <x v="8"/>
    <x v="0"/>
    <x v="0"/>
    <x v="4"/>
    <m/>
    <m/>
    <m/>
    <m/>
    <m/>
    <n v="0.15679999999999999"/>
    <n v="156.79999999999998"/>
  </r>
  <r>
    <s v="Tubos"/>
    <x v="3"/>
    <x v="8"/>
    <x v="0"/>
    <x v="0"/>
    <x v="5"/>
    <m/>
    <m/>
    <m/>
    <m/>
    <m/>
    <n v="0.13719999999999999"/>
    <n v="137.19999999999999"/>
  </r>
  <r>
    <s v="Tubos"/>
    <x v="3"/>
    <x v="8"/>
    <x v="0"/>
    <x v="0"/>
    <x v="6"/>
    <m/>
    <m/>
    <m/>
    <m/>
    <m/>
    <n v="0.12459999999999999"/>
    <n v="124.6"/>
  </r>
  <r>
    <s v="Tubos"/>
    <x v="3"/>
    <x v="8"/>
    <x v="0"/>
    <x v="0"/>
    <x v="7"/>
    <m/>
    <m/>
    <m/>
    <m/>
    <m/>
    <n v="0.11339999999999999"/>
    <n v="113.39999999999999"/>
  </r>
  <r>
    <s v="Tubos"/>
    <x v="3"/>
    <x v="8"/>
    <x v="0"/>
    <x v="0"/>
    <x v="8"/>
    <m/>
    <m/>
    <m/>
    <m/>
    <m/>
    <n v="0.10639999999999999"/>
    <n v="106.39999999999999"/>
  </r>
  <r>
    <m/>
    <x v="4"/>
    <x v="9"/>
    <x v="1"/>
    <x v="0"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D3B68-3EB2-41CE-A888-3C635BE1A2E4}" name="TablaDinámica1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21:G27" firstHeaderRow="0" firstDataRow="1" firstDataCol="1" rowPageCount="4" colPageCount="1"/>
  <pivotFields count="13">
    <pivotField axis="axisPage" multipleItemSelectionAllowed="1" showAll="0">
      <items count="4">
        <item x="0"/>
        <item h="1" x="1"/>
        <item m="1" x="2"/>
        <item t="default"/>
      </items>
    </pivotField>
    <pivotField axis="axisPage" multipleItemSelectionAllowed="1" showAll="0">
      <items count="5">
        <item h="1" x="1"/>
        <item x="0"/>
        <item m="1" x="2"/>
        <item m="1" x="3"/>
        <item t="default"/>
      </items>
    </pivotField>
    <pivotField axis="axisPage" multipleItemSelectionAllowed="1" showAll="0">
      <items count="17">
        <item h="1" x="0"/>
        <item h="1" x="3"/>
        <item x="1"/>
        <item h="1" x="4"/>
        <item h="1" x="5"/>
        <item h="1" x="6"/>
        <item h="1" x="2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t="default"/>
      </items>
    </pivotField>
    <pivotField axis="axisPage" multipleItemSelectionAllowed="1" showAll="0">
      <items count="11">
        <item x="0"/>
        <item h="1" x="3"/>
        <item h="1" x="1"/>
        <item h="1" x="2"/>
        <item h="1" x="8"/>
        <item h="1" x="9"/>
        <item h="1" x="4"/>
        <item h="1" x="5"/>
        <item h="1" x="6"/>
        <item h="1" x="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7"/>
        <item x="6"/>
        <item x="8"/>
        <item m="1" x="9"/>
        <item t="default"/>
      </items>
    </pivotField>
    <pivotField dataField="1" numFmtId="3" showAll="0"/>
    <pivotField dataField="1" showAll="0"/>
    <pivotField dataField="1" showAll="0"/>
    <pivotField dataField="1" showAll="0"/>
    <pivotField showAll="0"/>
    <pivotField showAll="0"/>
    <pivotField dataField="1" numFmtId="164" showAll="0"/>
    <pivotField numFmtI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3" hier="-1"/>
    <pageField fld="0" hier="-1"/>
    <pageField fld="2" hier="-1"/>
    <pageField fld="1" hier="-1"/>
  </pageFields>
  <dataFields count="5">
    <dataField name="Unidades" fld="5" baseField="4" baseItem="0" numFmtId="3"/>
    <dataField name="Pers." fld="6" baseField="3" baseItem="0" numFmtId="169"/>
    <dataField name="Tiempo (horas)" fld="7" baseField="3" baseItem="0" numFmtId="168"/>
    <dataField name="Tiempo (uds /hora)" fld="8" baseField="3" baseItem="0"/>
    <dataField name="Coste unidad Tarifas" fld="11" baseField="3" baseItem="0" numFmtId="164"/>
  </dataFields>
  <formats count="19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/>
    </format>
    <format dxfId="2">
      <pivotArea type="all" dataOnly="0" outline="0" fieldPosition="0"/>
    </format>
    <format dxfId="3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3"/>
          </reference>
          <reference field="4" count="3">
            <x v="2"/>
            <x v="3"/>
            <x v="4"/>
          </reference>
        </references>
      </pivotArea>
    </format>
    <format dxfId="15">
      <pivotArea field="4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5FC80-E9DC-44DB-9E62-F7F38D3F4113}" name="TablaDinámica3" cacheId="1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10:C11" firstHeaderRow="0" firstDataRow="1" firstDataCol="0" rowPageCount="4" colPageCount="1"/>
  <pivotFields count="13">
    <pivotField multipleItemSelectionAllowed="1" showAll="0"/>
    <pivotField axis="axisPage" multipleItemSelectionAllowed="1" showAll="0">
      <items count="7">
        <item x="0"/>
        <item h="1" x="1"/>
        <item h="1" x="2"/>
        <item h="1" x="4"/>
        <item m="1" x="5"/>
        <item h="1" x="3"/>
        <item t="default"/>
      </items>
    </pivotField>
    <pivotField axis="axisPage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2">
        <item x="0"/>
        <item t="default"/>
      </items>
    </pivotField>
    <pivotField axis="axisPage" numFmtId="3" multipleItemSelectionAllowed="1" showAll="0">
      <items count="11">
        <item h="1" x="1"/>
        <item h="1" x="2"/>
        <item h="1" x="3"/>
        <item h="1" x="0"/>
        <item h="1" x="4"/>
        <item h="1" x="5"/>
        <item x="6"/>
        <item h="1" x="7"/>
        <item h="1" x="8"/>
        <item h="1" x="9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dataField="1" numFmtId="1" showAll="0"/>
  </pivotFields>
  <rowItems count="1">
    <i/>
  </rowItems>
  <colFields count="1">
    <field x="-2"/>
  </colFields>
  <colItems count="2">
    <i>
      <x/>
    </i>
    <i i="1">
      <x v="1"/>
    </i>
  </colItems>
  <pageFields count="4">
    <pageField fld="3" hier="-1"/>
    <pageField fld="1" hier="-1"/>
    <pageField fld="2" hier="-1"/>
    <pageField fld="5" hier="-1"/>
  </pageFields>
  <dataFields count="2">
    <dataField name="€ / ud." fld="11" baseField="0" baseItem="1" numFmtId="166"/>
    <dataField name="€ / millar ud." fld="12" baseField="0" baseItem="2" numFmtId="3"/>
  </dataFields>
  <formats count="15">
    <format dxfId="57">
      <pivotArea outline="0" collapsedLevelsAreSubtotals="1" fieldPosition="0"/>
    </format>
    <format dxfId="56">
      <pivotArea type="all" dataOnly="0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/>
    </format>
    <format dxfId="52">
      <pivotArea dataOnly="0" labelOnly="1" grandRow="1" outline="0" fieldPosition="0"/>
    </format>
    <format dxfId="51">
      <pivotArea type="all" dataOnly="0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dataOnly="0" labelOnly="1" outline="0" fieldPosition="0">
        <references count="1">
          <reference field="1" count="0"/>
        </references>
      </pivotArea>
    </format>
    <format dxfId="48">
      <pivotArea dataOnly="0" labelOnly="1" fieldPosition="0">
        <references count="1">
          <reference field="5" count="8">
            <x v="0"/>
            <x v="1"/>
            <x v="2"/>
            <x v="4"/>
            <x v="5"/>
            <x v="6"/>
            <x v="7"/>
            <x v="8"/>
          </reference>
        </references>
      </pivotArea>
    </format>
    <format dxfId="47">
      <pivotArea dataOnly="0" labelOnly="1" grandRow="1" outline="0" fieldPosition="0"/>
    </format>
    <format dxfId="46">
      <pivotArea outline="0" collapsedLevelsAreSubtotals="1" fieldPosition="0"/>
    </format>
    <format dxfId="45">
      <pivotArea field="5" type="button" dataOnly="0" labelOnly="1" outline="0" axis="axisPage" fieldPosition="3"/>
    </format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A0668-3E68-4305-8D73-B798E9F53631}" name="Tabla1" displayName="Tabla1" ref="A2:N423" totalsRowShown="0" headerRowDxfId="42">
  <autoFilter ref="A2:N423" xr:uid="{44CA0668-3E68-4305-8D73-B798E9F53631}">
    <filterColumn colId="0">
      <filters>
        <filter val="Tarros"/>
      </filters>
    </filterColumn>
  </autoFilter>
  <sortState xmlns:xlrd2="http://schemas.microsoft.com/office/spreadsheetml/2017/richdata2" ref="A3:N422">
    <sortCondition ref="C2:C423"/>
  </sortState>
  <tableColumns count="14">
    <tableColumn id="9" xr3:uid="{67DEA5E2-D288-4E90-9779-2DF484887850}" name="Envase" dataDxfId="41"/>
    <tableColumn id="2" xr3:uid="{9856C867-09CB-4C39-8EA7-5C89DFE152B1}" name="Tipo envase" dataDxfId="40"/>
    <tableColumn id="13" xr3:uid="{6B5933CC-9DCB-424A-8F17-3BD137882904}" name="Capcidad min (ml)" dataDxfId="39"/>
    <tableColumn id="1" xr3:uid="{0FB6DFC3-8296-46D6-8A00-2722F9989915}" name="Capcidad max (ml)" dataDxfId="22"/>
    <tableColumn id="3" xr3:uid="{AB978166-6296-4CDF-8FC1-BFD5FFAB3D7B}" name="Operación" dataDxfId="38"/>
    <tableColumn id="4" xr3:uid="{0EC8904D-275D-4BD5-BF77-CF3D13C39491}" name="Escalado min (uds)" dataDxfId="37"/>
    <tableColumn id="15" xr3:uid="{6F8F10D5-BF36-4E1E-B558-C322ED4DE49A}" name="Escalado max (uds)" dataDxfId="21"/>
    <tableColumn id="5" xr3:uid="{91F14A9C-D234-4342-87DE-E904381E7BED}" name="Cantidad" dataDxfId="36"/>
    <tableColumn id="6" xr3:uid="{B2A3506A-67E6-4CF8-9A8D-C474A058926A}" name="Personas" dataDxfId="35"/>
    <tableColumn id="7" xr3:uid="{03EB03AB-BC3C-4066-817F-FE339E863F82}" name="Tiempo (h)" dataDxfId="34"/>
    <tableColumn id="8" xr3:uid="{14BA1215-BF56-4D3C-B881-090A58BA0613}" name="Piezas /hora" dataDxfId="33"/>
    <tableColumn id="10" xr3:uid="{F6FB57E4-459E-4F83-AE31-3D27C0B618B2}" name="Total horas"/>
    <tableColumn id="11" xr3:uid="{2DD67263-0EEB-4D91-8EDF-CBC252B8DB18}" name="Coste operación"/>
    <tableColumn id="12" xr3:uid="{86A588AA-DAE7-48CF-91FE-2174F8677330}" name="Coste unidad" dataDxfId="32">
      <calculatedColumnFormula>+O3/1000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2D3E14-6E6D-4B6D-AD84-0A2F6D9164E8}" name="Tabla14" displayName="Tabla14" ref="B2:L246" totalsRowShown="0" headerRowDxfId="31">
  <autoFilter ref="B2:L246" xr:uid="{44CA0668-3E68-4305-8D73-B798E9F53631}"/>
  <sortState xmlns:xlrd2="http://schemas.microsoft.com/office/spreadsheetml/2017/richdata2" ref="B3:L246">
    <sortCondition ref="D2:D246"/>
  </sortState>
  <tableColumns count="11">
    <tableColumn id="9" xr3:uid="{C5D1C5C9-2273-472E-B426-8C6157637290}" name="Envase" dataDxfId="30"/>
    <tableColumn id="2" xr3:uid="{4D7F3075-2C4E-44ED-990B-8B6FC6517EA9}" name="Tipo envase" dataDxfId="29"/>
    <tableColumn id="1" xr3:uid="{02A143B6-457E-446A-87FF-B25C6A1FDA84}" name="Capacidad min (ml)" dataDxfId="20"/>
    <tableColumn id="10" xr3:uid="{2D336E1A-2EC7-4535-AC2C-E5518D5104C7}" name="Capacidad max (ml)" dataDxfId="28"/>
    <tableColumn id="3" xr3:uid="{7AD79D3C-0E7D-43C9-A2C9-C5CF413C3BF4}" name="Operación"/>
    <tableColumn id="4" xr3:uid="{969687EE-9440-433E-A819-1804178FF75F}" name="Escalado min (uds)" dataDxfId="27"/>
    <tableColumn id="12" xr3:uid="{7D13BC42-9034-4D76-9999-2CE00770B5D8}" name="Escalado max (uds)" dataDxfId="19"/>
    <tableColumn id="5" xr3:uid="{3E1706F3-028F-4D69-A120-447F77303764}" name="Cantidad" dataDxfId="26"/>
    <tableColumn id="6" xr3:uid="{87C351E6-0943-4348-B1A1-42D8BA7590D7}" name="Personas" dataDxfId="25"/>
    <tableColumn id="7" xr3:uid="{0007FC17-CAA6-4F75-88A2-A90D08716D58}" name="Tiempo (h)" dataDxfId="24"/>
    <tableColumn id="8" xr3:uid="{4506D2A8-FAE9-4801-925C-4B9DDFB2B395}" name="Piezas /hora" dataDxfId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52A-901E-4041-B58A-4531A199ADAE}">
  <sheetPr codeName="Hoja1"/>
  <dimension ref="B2:L148"/>
  <sheetViews>
    <sheetView showGridLines="0" zoomScaleNormal="100" workbookViewId="0">
      <pane ySplit="10" topLeftCell="A68" activePane="bottomLeft" state="frozen"/>
      <selection pane="bottomLeft" activeCell="C8" sqref="C8"/>
    </sheetView>
  </sheetViews>
  <sheetFormatPr baseColWidth="10" defaultColWidth="8.85546875" defaultRowHeight="12" outlineLevelRow="1" x14ac:dyDescent="0.2"/>
  <cols>
    <col min="1" max="1" width="4.7109375" style="95" customWidth="1"/>
    <col min="2" max="2" width="28.42578125" style="95" customWidth="1"/>
    <col min="3" max="3" width="16.7109375" style="95" customWidth="1"/>
    <col min="4" max="4" width="11.7109375" style="95" customWidth="1"/>
    <col min="5" max="5" width="13.7109375" style="95" customWidth="1"/>
    <col min="6" max="8" width="16.85546875" style="95" customWidth="1"/>
    <col min="9" max="9" width="5.7109375" style="95" customWidth="1"/>
    <col min="10" max="10" width="8.85546875" style="199"/>
    <col min="11" max="16384" width="8.85546875" style="95"/>
  </cols>
  <sheetData>
    <row r="2" spans="2:12" x14ac:dyDescent="0.2">
      <c r="B2" s="143" t="s">
        <v>300</v>
      </c>
      <c r="C2" s="144"/>
      <c r="E2" s="94"/>
    </row>
    <row r="3" spans="2:12" x14ac:dyDescent="0.2">
      <c r="B3" s="100" t="s">
        <v>181</v>
      </c>
      <c r="C3" s="97" t="s">
        <v>321</v>
      </c>
      <c r="D3" s="97"/>
      <c r="E3" s="97"/>
      <c r="F3" s="97"/>
      <c r="G3" s="97"/>
      <c r="H3" s="97"/>
    </row>
    <row r="4" spans="2:12" x14ac:dyDescent="0.2">
      <c r="B4" s="100" t="s">
        <v>182</v>
      </c>
      <c r="C4" s="97"/>
      <c r="D4" s="97"/>
      <c r="E4" s="97"/>
      <c r="F4" s="97"/>
      <c r="G4" s="97"/>
      <c r="H4" s="97"/>
    </row>
    <row r="5" spans="2:12" ht="12.6" customHeight="1" x14ac:dyDescent="0.2">
      <c r="B5" s="100" t="s">
        <v>313</v>
      </c>
      <c r="C5" s="97" t="s">
        <v>18</v>
      </c>
      <c r="D5" s="97"/>
      <c r="E5" s="97"/>
      <c r="F5" s="97"/>
      <c r="G5" s="97"/>
      <c r="H5" s="97"/>
    </row>
    <row r="6" spans="2:12" x14ac:dyDescent="0.2">
      <c r="B6" s="100" t="s">
        <v>314</v>
      </c>
      <c r="C6" s="97"/>
      <c r="D6" s="97"/>
      <c r="E6" s="97"/>
      <c r="F6" s="97"/>
      <c r="G6" s="97"/>
      <c r="H6" s="97"/>
    </row>
    <row r="7" spans="2:12" x14ac:dyDescent="0.2">
      <c r="B7" s="100" t="s">
        <v>178</v>
      </c>
      <c r="C7" s="97" t="s">
        <v>330</v>
      </c>
      <c r="D7" s="97" t="s">
        <v>330</v>
      </c>
      <c r="E7" s="97" t="s">
        <v>330</v>
      </c>
      <c r="F7" s="97" t="s">
        <v>330</v>
      </c>
      <c r="G7" s="97" t="s">
        <v>331</v>
      </c>
      <c r="H7" s="97" t="s">
        <v>331</v>
      </c>
    </row>
    <row r="8" spans="2:12" x14ac:dyDescent="0.2">
      <c r="B8" s="95" t="s">
        <v>177</v>
      </c>
      <c r="C8" s="145">
        <v>50</v>
      </c>
      <c r="D8" s="145">
        <v>50</v>
      </c>
      <c r="E8" s="145">
        <v>100</v>
      </c>
      <c r="F8" s="145">
        <v>100</v>
      </c>
      <c r="G8" s="145">
        <v>50</v>
      </c>
      <c r="H8" s="145">
        <v>50</v>
      </c>
    </row>
    <row r="9" spans="2:12" x14ac:dyDescent="0.2">
      <c r="B9" s="95" t="s">
        <v>175</v>
      </c>
      <c r="C9" s="146">
        <v>5000</v>
      </c>
      <c r="D9" s="146">
        <v>10000</v>
      </c>
      <c r="E9" s="146">
        <v>5000</v>
      </c>
      <c r="F9" s="146">
        <v>10000</v>
      </c>
      <c r="G9" s="146">
        <v>5000</v>
      </c>
      <c r="H9" s="146">
        <v>10000</v>
      </c>
      <c r="J9" s="200" t="s">
        <v>320</v>
      </c>
      <c r="K9" s="194"/>
      <c r="L9" s="194"/>
    </row>
    <row r="10" spans="2:12" ht="2.4500000000000002" customHeight="1" x14ac:dyDescent="0.2"/>
    <row r="12" spans="2:12" ht="13.15" customHeight="1" x14ac:dyDescent="0.2">
      <c r="B12" s="193" t="s">
        <v>258</v>
      </c>
      <c r="C12" s="194"/>
      <c r="D12" s="194"/>
      <c r="E12" s="194"/>
      <c r="F12" s="194"/>
      <c r="G12" s="194"/>
      <c r="H12" s="194"/>
    </row>
    <row r="13" spans="2:12" ht="13.15" customHeight="1" x14ac:dyDescent="0.2"/>
    <row r="14" spans="2:12" ht="13.15" customHeight="1" x14ac:dyDescent="0.2">
      <c r="B14" s="95" t="s">
        <v>282</v>
      </c>
      <c r="C14" s="175">
        <f>+'BD tasas y precios'!$C$12</f>
        <v>32.200000000000003</v>
      </c>
      <c r="D14" s="175">
        <f>+'BD tasas y precios'!$C$12</f>
        <v>32.200000000000003</v>
      </c>
      <c r="E14" s="175">
        <f>+'BD tasas y precios'!$C$12</f>
        <v>32.200000000000003</v>
      </c>
      <c r="F14" s="175">
        <f>+'BD tasas y precios'!$C$12</f>
        <v>32.200000000000003</v>
      </c>
      <c r="G14" s="175">
        <f>+'BD tasas y precios'!$C$12</f>
        <v>32.200000000000003</v>
      </c>
      <c r="H14" s="175">
        <f>+'BD tasas y precios'!$C$12</f>
        <v>32.200000000000003</v>
      </c>
    </row>
    <row r="15" spans="2:12" ht="13.15" customHeight="1" x14ac:dyDescent="0.2"/>
    <row r="16" spans="2:12" ht="13.15" customHeight="1" x14ac:dyDescent="0.2">
      <c r="B16" s="151" t="s">
        <v>247</v>
      </c>
      <c r="C16" s="160" t="s">
        <v>308</v>
      </c>
      <c r="D16" s="160" t="s">
        <v>308</v>
      </c>
      <c r="E16" s="160" t="s">
        <v>308</v>
      </c>
      <c r="F16" s="160" t="s">
        <v>308</v>
      </c>
      <c r="G16" s="160" t="s">
        <v>308</v>
      </c>
      <c r="H16" s="160" t="s">
        <v>308</v>
      </c>
      <c r="J16" s="199" t="s">
        <v>332</v>
      </c>
    </row>
    <row r="17" spans="2:10" ht="13.15" customHeight="1" outlineLevel="1" x14ac:dyDescent="0.2">
      <c r="B17" s="95" t="s">
        <v>283</v>
      </c>
      <c r="C17" s="97" t="s">
        <v>309</v>
      </c>
      <c r="D17" s="97" t="s">
        <v>309</v>
      </c>
      <c r="E17" s="97" t="s">
        <v>309</v>
      </c>
      <c r="F17" s="97" t="s">
        <v>309</v>
      </c>
      <c r="G17" s="97" t="s">
        <v>309</v>
      </c>
      <c r="H17" s="97" t="s">
        <v>309</v>
      </c>
      <c r="J17" s="199" t="s">
        <v>329</v>
      </c>
    </row>
    <row r="18" spans="2:10" ht="13.15" customHeight="1" outlineLevel="1" x14ac:dyDescent="0.2">
      <c r="B18" s="95" t="s">
        <v>288</v>
      </c>
      <c r="C18" s="97" t="s">
        <v>309</v>
      </c>
      <c r="D18" s="97" t="s">
        <v>309</v>
      </c>
      <c r="E18" s="97" t="s">
        <v>309</v>
      </c>
      <c r="F18" s="97" t="s">
        <v>309</v>
      </c>
      <c r="G18" s="97" t="s">
        <v>309</v>
      </c>
      <c r="H18" s="97" t="s">
        <v>309</v>
      </c>
      <c r="J18" s="199" t="s">
        <v>333</v>
      </c>
    </row>
    <row r="19" spans="2:10" ht="13.15" customHeight="1" outlineLevel="1" x14ac:dyDescent="0.2">
      <c r="B19" s="95" t="s">
        <v>289</v>
      </c>
      <c r="C19" s="97" t="s">
        <v>312</v>
      </c>
      <c r="D19" s="97" t="s">
        <v>312</v>
      </c>
      <c r="E19" s="97" t="s">
        <v>312</v>
      </c>
      <c r="F19" s="97" t="s">
        <v>312</v>
      </c>
      <c r="G19" s="97" t="s">
        <v>312</v>
      </c>
      <c r="H19" s="97" t="s">
        <v>312</v>
      </c>
    </row>
    <row r="20" spans="2:10" ht="13.15" customHeight="1" outlineLevel="1" x14ac:dyDescent="0.2">
      <c r="B20" s="95" t="s">
        <v>248</v>
      </c>
      <c r="C20" s="178">
        <v>0</v>
      </c>
      <c r="D20" s="178">
        <v>0</v>
      </c>
      <c r="E20" s="178">
        <v>0</v>
      </c>
      <c r="F20" s="178">
        <v>0</v>
      </c>
      <c r="G20" s="178">
        <v>0</v>
      </c>
      <c r="H20" s="178">
        <v>0</v>
      </c>
    </row>
    <row r="21" spans="2:10" outlineLevel="1" x14ac:dyDescent="0.2">
      <c r="B21" s="95" t="s">
        <v>283</v>
      </c>
      <c r="C21" s="174" t="s">
        <v>312</v>
      </c>
      <c r="D21" s="174" t="s">
        <v>312</v>
      </c>
      <c r="E21" s="174" t="s">
        <v>312</v>
      </c>
      <c r="F21" s="174" t="s">
        <v>312</v>
      </c>
      <c r="G21" s="174" t="s">
        <v>312</v>
      </c>
      <c r="H21" s="174" t="s">
        <v>312</v>
      </c>
    </row>
    <row r="22" spans="2:10" outlineLevel="1" x14ac:dyDescent="0.2">
      <c r="B22" s="95" t="s">
        <v>317</v>
      </c>
      <c r="C22" s="195">
        <v>0.16239999999999999</v>
      </c>
      <c r="D22" s="195">
        <v>0.16239999999999999</v>
      </c>
      <c r="E22" s="195">
        <v>0.16800000000000001</v>
      </c>
      <c r="F22" s="195">
        <v>0.15539999999999998</v>
      </c>
      <c r="G22" s="195">
        <v>0.11600000000000001</v>
      </c>
      <c r="H22" s="195">
        <v>0.104</v>
      </c>
      <c r="J22" s="199" t="s">
        <v>337</v>
      </c>
    </row>
    <row r="23" spans="2:10" outlineLevel="1" x14ac:dyDescent="0.2">
      <c r="B23" s="110" t="s">
        <v>285</v>
      </c>
      <c r="C23" s="196">
        <f>+IF(C20&gt;0,C22*1.85,C22)</f>
        <v>0.16239999999999999</v>
      </c>
      <c r="D23" s="196">
        <v>0.14599999999999999</v>
      </c>
      <c r="E23" s="196">
        <f t="shared" ref="E23:F23" si="0">+IF(E20&gt;0,E22*1.85,E22)</f>
        <v>0.16800000000000001</v>
      </c>
      <c r="F23" s="196">
        <f t="shared" si="0"/>
        <v>0.15539999999999998</v>
      </c>
      <c r="G23" s="196">
        <f t="shared" ref="G23" si="1">+IF(G20&gt;0,G22*1.85,G22)</f>
        <v>0.11600000000000001</v>
      </c>
      <c r="H23" s="196">
        <f t="shared" ref="H23" si="2">+IF(H20&gt;0,H22*1.85,H22)</f>
        <v>0.104</v>
      </c>
    </row>
    <row r="24" spans="2:10" ht="13.15" customHeight="1" x14ac:dyDescent="0.2"/>
    <row r="25" spans="2:10" ht="13.15" customHeight="1" x14ac:dyDescent="0.2">
      <c r="B25" s="151" t="s">
        <v>247</v>
      </c>
      <c r="C25" s="186" t="s">
        <v>325</v>
      </c>
      <c r="D25" s="186" t="s">
        <v>325</v>
      </c>
      <c r="E25" s="186" t="s">
        <v>325</v>
      </c>
      <c r="F25" s="186" t="s">
        <v>325</v>
      </c>
      <c r="G25" s="186" t="s">
        <v>325</v>
      </c>
      <c r="H25" s="186" t="s">
        <v>325</v>
      </c>
    </row>
    <row r="26" spans="2:10" s="187" customFormat="1" ht="13.15" hidden="1" customHeight="1" outlineLevel="1" x14ac:dyDescent="0.2">
      <c r="B26" s="187" t="s">
        <v>283</v>
      </c>
      <c r="C26" s="188"/>
      <c r="D26" s="188"/>
      <c r="E26" s="188"/>
      <c r="F26" s="188"/>
      <c r="G26" s="188"/>
      <c r="H26" s="188"/>
      <c r="J26" s="201"/>
    </row>
    <row r="27" spans="2:10" s="187" customFormat="1" ht="13.15" hidden="1" customHeight="1" outlineLevel="1" x14ac:dyDescent="0.2">
      <c r="B27" s="187" t="s">
        <v>288</v>
      </c>
      <c r="C27" s="188"/>
      <c r="D27" s="188"/>
      <c r="E27" s="188"/>
      <c r="F27" s="188"/>
      <c r="G27" s="188"/>
      <c r="H27" s="188"/>
      <c r="J27" s="201"/>
    </row>
    <row r="28" spans="2:10" s="187" customFormat="1" ht="13.15" hidden="1" customHeight="1" outlineLevel="1" x14ac:dyDescent="0.2">
      <c r="B28" s="187" t="s">
        <v>289</v>
      </c>
      <c r="C28" s="188"/>
      <c r="D28" s="188"/>
      <c r="E28" s="188"/>
      <c r="F28" s="188"/>
      <c r="G28" s="188"/>
      <c r="H28" s="188"/>
      <c r="J28" s="201"/>
    </row>
    <row r="29" spans="2:10" s="187" customFormat="1" ht="13.15" hidden="1" customHeight="1" outlineLevel="1" x14ac:dyDescent="0.2">
      <c r="B29" s="187" t="s">
        <v>248</v>
      </c>
      <c r="C29" s="189"/>
      <c r="D29" s="189"/>
      <c r="E29" s="189"/>
      <c r="F29" s="189"/>
      <c r="G29" s="189"/>
      <c r="H29" s="189"/>
      <c r="J29" s="201"/>
    </row>
    <row r="30" spans="2:10" s="187" customFormat="1" ht="13.15" hidden="1" customHeight="1" outlineLevel="1" x14ac:dyDescent="0.2">
      <c r="B30" s="187" t="s">
        <v>283</v>
      </c>
      <c r="C30" s="190" t="str">
        <f>+IFERROR(IF(C26&gt;0,C26*C29,C28/C27*C29),"")</f>
        <v/>
      </c>
      <c r="D30" s="190" t="str">
        <f t="shared" ref="D30:F30" si="3">+IFERROR(IF(D26&gt;0,D26*D29,D28/D27*D29),"")</f>
        <v/>
      </c>
      <c r="E30" s="190" t="str">
        <f t="shared" si="3"/>
        <v/>
      </c>
      <c r="F30" s="190" t="str">
        <f t="shared" si="3"/>
        <v/>
      </c>
      <c r="G30" s="190" t="str">
        <f t="shared" ref="G30" si="4">+IFERROR(IF(G26&gt;0,G26*G29,G28/G27*G29),"")</f>
        <v/>
      </c>
      <c r="H30" s="190" t="str">
        <f t="shared" ref="H30" si="5">+IFERROR(IF(H26&gt;0,H26*H29,H28/H27*H29),"")</f>
        <v/>
      </c>
      <c r="J30" s="201"/>
    </row>
    <row r="31" spans="2:10" s="187" customFormat="1" ht="13.15" hidden="1" customHeight="1" outlineLevel="1" x14ac:dyDescent="0.2">
      <c r="B31" s="187" t="s">
        <v>317</v>
      </c>
      <c r="J31" s="201"/>
    </row>
    <row r="32" spans="2:10" s="187" customFormat="1" ht="13.15" hidden="1" customHeight="1" outlineLevel="1" x14ac:dyDescent="0.2">
      <c r="B32" s="191" t="s">
        <v>285</v>
      </c>
      <c r="C32" s="192" t="str">
        <f>+IFERROR(($C$14*C30)/C9,"")</f>
        <v/>
      </c>
      <c r="D32" s="192" t="str">
        <f t="shared" ref="D32:F32" si="6">+IFERROR(($C$14*D30)/D9,"")</f>
        <v/>
      </c>
      <c r="E32" s="192" t="str">
        <f t="shared" si="6"/>
        <v/>
      </c>
      <c r="F32" s="192" t="str">
        <f t="shared" si="6"/>
        <v/>
      </c>
      <c r="G32" s="192" t="str">
        <f t="shared" ref="G32:H32" si="7">+IFERROR(($C$14*G30)/G9,"")</f>
        <v/>
      </c>
      <c r="H32" s="192" t="str">
        <f t="shared" si="7"/>
        <v/>
      </c>
      <c r="J32" s="201"/>
    </row>
    <row r="33" spans="2:8" ht="13.15" customHeight="1" collapsed="1" x14ac:dyDescent="0.2">
      <c r="C33" s="153"/>
      <c r="D33" s="153"/>
      <c r="E33" s="153"/>
      <c r="F33" s="153"/>
      <c r="G33" s="153"/>
      <c r="H33" s="153"/>
    </row>
    <row r="34" spans="2:8" ht="13.15" customHeight="1" x14ac:dyDescent="0.2">
      <c r="B34" s="151" t="s">
        <v>247</v>
      </c>
      <c r="C34" s="160" t="s">
        <v>17</v>
      </c>
      <c r="D34" s="160" t="s">
        <v>17</v>
      </c>
      <c r="E34" s="160" t="s">
        <v>17</v>
      </c>
      <c r="F34" s="160" t="s">
        <v>17</v>
      </c>
      <c r="G34" s="160" t="s">
        <v>17</v>
      </c>
      <c r="H34" s="160" t="s">
        <v>17</v>
      </c>
    </row>
    <row r="35" spans="2:8" ht="13.15" hidden="1" customHeight="1" outlineLevel="1" x14ac:dyDescent="0.2">
      <c r="B35" s="95" t="s">
        <v>283</v>
      </c>
      <c r="C35" s="158"/>
      <c r="D35" s="158"/>
      <c r="E35" s="158"/>
      <c r="F35" s="158"/>
      <c r="G35" s="158"/>
      <c r="H35" s="158"/>
    </row>
    <row r="36" spans="2:8" ht="13.15" hidden="1" customHeight="1" outlineLevel="1" x14ac:dyDescent="0.2">
      <c r="B36" s="95" t="s">
        <v>288</v>
      </c>
      <c r="C36" s="158"/>
      <c r="D36" s="158"/>
      <c r="E36" s="158"/>
      <c r="F36" s="158"/>
      <c r="G36" s="158"/>
      <c r="H36" s="158"/>
    </row>
    <row r="37" spans="2:8" ht="13.15" hidden="1" customHeight="1" outlineLevel="1" x14ac:dyDescent="0.2">
      <c r="B37" s="95" t="s">
        <v>289</v>
      </c>
      <c r="C37" s="158"/>
      <c r="D37" s="158"/>
      <c r="E37" s="158"/>
      <c r="F37" s="158"/>
      <c r="G37" s="158"/>
      <c r="H37" s="158"/>
    </row>
    <row r="38" spans="2:8" ht="13.15" hidden="1" customHeight="1" outlineLevel="1" x14ac:dyDescent="0.2">
      <c r="B38" s="95" t="s">
        <v>248</v>
      </c>
      <c r="C38" s="111"/>
      <c r="D38" s="111"/>
      <c r="E38" s="111"/>
      <c r="F38" s="111"/>
      <c r="G38" s="111"/>
      <c r="H38" s="111"/>
    </row>
    <row r="39" spans="2:8" ht="13.15" hidden="1" customHeight="1" outlineLevel="1" x14ac:dyDescent="0.2">
      <c r="B39" s="95" t="s">
        <v>283</v>
      </c>
      <c r="C39" s="174" t="str">
        <f>+IFERROR(IF(C35&gt;0,C35*C38,C37/C36*C38),"")</f>
        <v/>
      </c>
      <c r="D39" s="174" t="str">
        <f t="shared" ref="D39:F39" si="8">+IFERROR(IF(D35&gt;0,D35*D38,D37/D36*D38),"")</f>
        <v/>
      </c>
      <c r="E39" s="174" t="str">
        <f t="shared" si="8"/>
        <v/>
      </c>
      <c r="F39" s="174" t="str">
        <f t="shared" si="8"/>
        <v/>
      </c>
      <c r="G39" s="174"/>
      <c r="H39" s="174"/>
    </row>
    <row r="40" spans="2:8" ht="13.15" hidden="1" customHeight="1" outlineLevel="1" x14ac:dyDescent="0.2">
      <c r="B40" s="95" t="s">
        <v>317</v>
      </c>
    </row>
    <row r="41" spans="2:8" ht="13.15" hidden="1" customHeight="1" outlineLevel="1" x14ac:dyDescent="0.2">
      <c r="B41" s="110" t="s">
        <v>285</v>
      </c>
      <c r="C41" s="159" t="str">
        <f>+IFERROR(($C$14*C39)/C9,"")</f>
        <v/>
      </c>
      <c r="D41" s="159" t="str">
        <f t="shared" ref="D41:F41" si="9">+IFERROR(($C$14*D39)/D9,"")</f>
        <v/>
      </c>
      <c r="E41" s="159" t="str">
        <f t="shared" si="9"/>
        <v/>
      </c>
      <c r="F41" s="159" t="str">
        <f t="shared" si="9"/>
        <v/>
      </c>
      <c r="G41" s="181"/>
      <c r="H41" s="181"/>
    </row>
    <row r="42" spans="2:8" ht="13.15" customHeight="1" collapsed="1" x14ac:dyDescent="0.2">
      <c r="C42" s="153"/>
      <c r="D42" s="153"/>
      <c r="E42" s="153"/>
      <c r="F42" s="153"/>
      <c r="G42" s="153"/>
      <c r="H42" s="153"/>
    </row>
    <row r="43" spans="2:8" ht="13.15" customHeight="1" x14ac:dyDescent="0.2">
      <c r="B43" s="151" t="s">
        <v>247</v>
      </c>
      <c r="C43" s="160" t="s">
        <v>291</v>
      </c>
      <c r="D43" s="160" t="s">
        <v>291</v>
      </c>
      <c r="E43" s="160" t="s">
        <v>291</v>
      </c>
      <c r="F43" s="160" t="s">
        <v>291</v>
      </c>
      <c r="G43" s="160" t="s">
        <v>291</v>
      </c>
      <c r="H43" s="160" t="s">
        <v>291</v>
      </c>
    </row>
    <row r="44" spans="2:8" ht="13.15" hidden="1" customHeight="1" outlineLevel="1" x14ac:dyDescent="0.2">
      <c r="B44" s="95" t="s">
        <v>283</v>
      </c>
      <c r="C44" s="158"/>
      <c r="D44" s="158"/>
      <c r="E44" s="158"/>
      <c r="F44" s="158"/>
      <c r="G44" s="158"/>
      <c r="H44" s="158"/>
    </row>
    <row r="45" spans="2:8" ht="13.15" hidden="1" customHeight="1" outlineLevel="1" x14ac:dyDescent="0.2">
      <c r="B45" s="95" t="s">
        <v>288</v>
      </c>
      <c r="C45" s="158"/>
      <c r="D45" s="158"/>
      <c r="E45" s="158"/>
      <c r="F45" s="158"/>
      <c r="G45" s="158"/>
      <c r="H45" s="158"/>
    </row>
    <row r="46" spans="2:8" ht="13.15" hidden="1" customHeight="1" outlineLevel="1" x14ac:dyDescent="0.2">
      <c r="B46" s="95" t="s">
        <v>289</v>
      </c>
      <c r="C46" s="158"/>
      <c r="D46" s="158"/>
      <c r="E46" s="158"/>
      <c r="F46" s="158"/>
      <c r="G46" s="158"/>
      <c r="H46" s="158"/>
    </row>
    <row r="47" spans="2:8" ht="13.15" hidden="1" customHeight="1" outlineLevel="1" x14ac:dyDescent="0.2">
      <c r="B47" s="95" t="s">
        <v>248</v>
      </c>
      <c r="C47" s="111"/>
      <c r="D47" s="111"/>
      <c r="E47" s="111"/>
      <c r="F47" s="111"/>
      <c r="G47" s="111"/>
      <c r="H47" s="111"/>
    </row>
    <row r="48" spans="2:8" ht="13.15" hidden="1" customHeight="1" outlineLevel="1" x14ac:dyDescent="0.2">
      <c r="B48" s="95" t="s">
        <v>283</v>
      </c>
      <c r="C48" s="174" t="str">
        <f>+IFERROR(IF(C44&gt;0,C44*C47,C46/C45*C47),"")</f>
        <v/>
      </c>
      <c r="D48" s="174" t="str">
        <f t="shared" ref="D48:F48" si="10">+IFERROR(IF(D44&gt;0,D44*D47,D46/D45*D47),"")</f>
        <v/>
      </c>
      <c r="E48" s="174" t="str">
        <f t="shared" si="10"/>
        <v/>
      </c>
      <c r="F48" s="174" t="str">
        <f t="shared" si="10"/>
        <v/>
      </c>
      <c r="G48" s="174"/>
      <c r="H48" s="174"/>
    </row>
    <row r="49" spans="2:8" ht="13.15" hidden="1" customHeight="1" outlineLevel="1" x14ac:dyDescent="0.2">
      <c r="B49" s="95" t="s">
        <v>317</v>
      </c>
    </row>
    <row r="50" spans="2:8" ht="13.15" hidden="1" customHeight="1" outlineLevel="1" x14ac:dyDescent="0.2">
      <c r="B50" s="110" t="s">
        <v>285</v>
      </c>
      <c r="C50" s="159" t="str">
        <f>+IFERROR(($C$14*C48)/C9,"")</f>
        <v/>
      </c>
      <c r="D50" s="159" t="str">
        <f t="shared" ref="D50:F50" si="11">+IFERROR(($C$14*D48)/D9,"")</f>
        <v/>
      </c>
      <c r="E50" s="159" t="str">
        <f t="shared" si="11"/>
        <v/>
      </c>
      <c r="F50" s="159" t="str">
        <f t="shared" si="11"/>
        <v/>
      </c>
      <c r="G50" s="181"/>
      <c r="H50" s="181"/>
    </row>
    <row r="51" spans="2:8" ht="13.15" customHeight="1" collapsed="1" x14ac:dyDescent="0.2">
      <c r="C51" s="153"/>
      <c r="D51" s="153"/>
      <c r="E51" s="153"/>
      <c r="F51" s="153"/>
      <c r="G51" s="153"/>
      <c r="H51" s="153"/>
    </row>
    <row r="52" spans="2:8" ht="13.15" customHeight="1" x14ac:dyDescent="0.2">
      <c r="B52" s="151" t="s">
        <v>247</v>
      </c>
      <c r="C52" s="160" t="s">
        <v>290</v>
      </c>
      <c r="D52" s="160" t="s">
        <v>290</v>
      </c>
      <c r="E52" s="160" t="s">
        <v>290</v>
      </c>
      <c r="F52" s="160" t="s">
        <v>290</v>
      </c>
      <c r="G52" s="160" t="s">
        <v>290</v>
      </c>
      <c r="H52" s="160" t="s">
        <v>290</v>
      </c>
    </row>
    <row r="53" spans="2:8" ht="13.15" hidden="1" customHeight="1" outlineLevel="1" x14ac:dyDescent="0.2">
      <c r="B53" s="95" t="s">
        <v>283</v>
      </c>
      <c r="C53" s="158"/>
      <c r="D53" s="158"/>
      <c r="E53" s="158"/>
      <c r="F53" s="158"/>
      <c r="G53" s="158"/>
      <c r="H53" s="158"/>
    </row>
    <row r="54" spans="2:8" ht="13.15" hidden="1" customHeight="1" outlineLevel="1" x14ac:dyDescent="0.2">
      <c r="B54" s="95" t="s">
        <v>288</v>
      </c>
      <c r="C54" s="158"/>
      <c r="D54" s="158"/>
      <c r="E54" s="158"/>
      <c r="F54" s="158"/>
      <c r="G54" s="158"/>
      <c r="H54" s="158"/>
    </row>
    <row r="55" spans="2:8" ht="13.15" hidden="1" customHeight="1" outlineLevel="1" x14ac:dyDescent="0.2">
      <c r="B55" s="95" t="s">
        <v>289</v>
      </c>
      <c r="C55" s="158"/>
      <c r="D55" s="158"/>
      <c r="E55" s="158"/>
      <c r="F55" s="158"/>
      <c r="G55" s="158"/>
      <c r="H55" s="158"/>
    </row>
    <row r="56" spans="2:8" ht="13.15" hidden="1" customHeight="1" outlineLevel="1" x14ac:dyDescent="0.2">
      <c r="B56" s="95" t="s">
        <v>248</v>
      </c>
      <c r="C56" s="111"/>
      <c r="D56" s="111"/>
      <c r="E56" s="111"/>
      <c r="F56" s="111"/>
      <c r="G56" s="111"/>
      <c r="H56" s="111"/>
    </row>
    <row r="57" spans="2:8" ht="13.15" hidden="1" customHeight="1" outlineLevel="1" x14ac:dyDescent="0.2">
      <c r="B57" s="95" t="s">
        <v>283</v>
      </c>
      <c r="C57" s="174" t="str">
        <f>+IFERROR(IF(C53&gt;0,C53*C56,C55/C54*C56),"")</f>
        <v/>
      </c>
      <c r="D57" s="174" t="str">
        <f t="shared" ref="D57:F57" si="12">+IFERROR(IF(D53&gt;0,D53*D56,D55/D54*D56),"")</f>
        <v/>
      </c>
      <c r="E57" s="174" t="str">
        <f t="shared" si="12"/>
        <v/>
      </c>
      <c r="F57" s="174" t="str">
        <f t="shared" si="12"/>
        <v/>
      </c>
      <c r="G57" s="174"/>
      <c r="H57" s="174"/>
    </row>
    <row r="58" spans="2:8" ht="13.15" hidden="1" customHeight="1" outlineLevel="1" x14ac:dyDescent="0.2">
      <c r="B58" s="95" t="s">
        <v>317</v>
      </c>
    </row>
    <row r="59" spans="2:8" ht="13.15" hidden="1" customHeight="1" outlineLevel="1" x14ac:dyDescent="0.2">
      <c r="B59" s="110" t="s">
        <v>285</v>
      </c>
      <c r="C59" s="159" t="str">
        <f>+IFERROR(($C$14*C57)/C9,"")</f>
        <v/>
      </c>
      <c r="D59" s="159" t="str">
        <f t="shared" ref="D59:F59" si="13">+IFERROR(($C$14*D57)/D9,"")</f>
        <v/>
      </c>
      <c r="E59" s="159" t="str">
        <f t="shared" si="13"/>
        <v/>
      </c>
      <c r="F59" s="159" t="str">
        <f t="shared" si="13"/>
        <v/>
      </c>
      <c r="G59" s="181"/>
      <c r="H59" s="181"/>
    </row>
    <row r="60" spans="2:8" ht="13.15" customHeight="1" collapsed="1" x14ac:dyDescent="0.2">
      <c r="C60" s="153"/>
      <c r="D60" s="153"/>
      <c r="E60" s="153"/>
      <c r="F60" s="153"/>
      <c r="G60" s="153"/>
      <c r="H60" s="153"/>
    </row>
    <row r="61" spans="2:8" ht="13.15" customHeight="1" thickBot="1" x14ac:dyDescent="0.25"/>
    <row r="62" spans="2:8" ht="13.15" customHeight="1" thickBot="1" x14ac:dyDescent="0.25">
      <c r="B62" s="110" t="s">
        <v>326</v>
      </c>
      <c r="C62" s="183">
        <f>+SUM(C23,C32,C41,C50,C59)</f>
        <v>0.16239999999999999</v>
      </c>
      <c r="D62" s="183">
        <f>+SUM(D23,D32,D41,D50,D59)</f>
        <v>0.14599999999999999</v>
      </c>
      <c r="E62" s="183">
        <f>+SUM(E23,E32,E41,E50,E59)</f>
        <v>0.16800000000000001</v>
      </c>
      <c r="F62" s="183">
        <f>+SUM(F23,F32,F41,F50,F59)</f>
        <v>0.15539999999999998</v>
      </c>
      <c r="G62" s="183">
        <f t="shared" ref="G62:H62" si="14">+SUM(G23,G32,G41,G50,G59)</f>
        <v>0.11600000000000001</v>
      </c>
      <c r="H62" s="183">
        <f t="shared" si="14"/>
        <v>0.104</v>
      </c>
    </row>
    <row r="64" spans="2:8" ht="13.15" customHeight="1" x14ac:dyDescent="0.2"/>
    <row r="65" spans="2:10" ht="13.15" customHeight="1" x14ac:dyDescent="0.2">
      <c r="B65" s="147" t="s">
        <v>226</v>
      </c>
      <c r="C65" s="148"/>
      <c r="D65" s="148"/>
      <c r="E65" s="148"/>
      <c r="F65" s="148"/>
      <c r="G65" s="148"/>
      <c r="H65" s="148"/>
    </row>
    <row r="66" spans="2:10" ht="13.15" customHeight="1" x14ac:dyDescent="0.2"/>
    <row r="67" spans="2:10" ht="13.15" customHeight="1" x14ac:dyDescent="0.2">
      <c r="B67" s="151" t="s">
        <v>318</v>
      </c>
      <c r="C67" s="160" t="s">
        <v>327</v>
      </c>
      <c r="D67" s="160" t="s">
        <v>327</v>
      </c>
      <c r="E67" s="160" t="s">
        <v>327</v>
      </c>
      <c r="F67" s="160" t="s">
        <v>327</v>
      </c>
      <c r="G67" s="160" t="s">
        <v>327</v>
      </c>
      <c r="H67" s="160" t="s">
        <v>327</v>
      </c>
    </row>
    <row r="68" spans="2:10" ht="13.15" customHeight="1" x14ac:dyDescent="0.2">
      <c r="B68" s="95" t="s">
        <v>178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</row>
    <row r="69" spans="2:10" ht="13.15" customHeight="1" x14ac:dyDescent="0.2">
      <c r="B69" s="95" t="s">
        <v>318</v>
      </c>
      <c r="C69" s="122">
        <v>0</v>
      </c>
      <c r="D69" s="122">
        <v>0</v>
      </c>
      <c r="E69" s="122">
        <v>0</v>
      </c>
      <c r="F69" s="122">
        <v>0</v>
      </c>
      <c r="G69" s="122">
        <v>0</v>
      </c>
      <c r="H69" s="122">
        <v>0</v>
      </c>
    </row>
    <row r="70" spans="2:10" ht="13.15" customHeight="1" x14ac:dyDescent="0.2">
      <c r="B70" s="95" t="s">
        <v>296</v>
      </c>
      <c r="C70" s="122">
        <v>0</v>
      </c>
      <c r="D70" s="122">
        <v>0</v>
      </c>
      <c r="E70" s="122">
        <v>0</v>
      </c>
      <c r="F70" s="122">
        <v>0</v>
      </c>
      <c r="G70" s="122">
        <v>0</v>
      </c>
      <c r="H70" s="122">
        <v>0</v>
      </c>
    </row>
    <row r="71" spans="2:10" ht="13.15" customHeight="1" x14ac:dyDescent="0.2">
      <c r="B71" s="108" t="s">
        <v>183</v>
      </c>
      <c r="C71" s="121">
        <v>1.0999999999999999E-2</v>
      </c>
      <c r="D71" s="121">
        <v>1.0999999999999999E-2</v>
      </c>
      <c r="E71" s="121">
        <v>1.4E-2</v>
      </c>
      <c r="F71" s="121">
        <v>1.4E-2</v>
      </c>
      <c r="G71" s="121">
        <v>1.0999999999999999E-2</v>
      </c>
      <c r="H71" s="121">
        <v>1.0999999999999999E-2</v>
      </c>
      <c r="J71" s="199" t="s">
        <v>334</v>
      </c>
    </row>
    <row r="72" spans="2:10" ht="13.15" customHeight="1" x14ac:dyDescent="0.2">
      <c r="B72" s="95" t="s">
        <v>297</v>
      </c>
      <c r="C72" s="121">
        <v>0</v>
      </c>
      <c r="D72" s="121">
        <v>0</v>
      </c>
      <c r="E72" s="121">
        <v>0</v>
      </c>
      <c r="F72" s="121">
        <v>0</v>
      </c>
      <c r="G72" s="121">
        <v>0</v>
      </c>
      <c r="H72" s="121">
        <v>0</v>
      </c>
      <c r="J72" s="199" t="s">
        <v>335</v>
      </c>
    </row>
    <row r="73" spans="2:10" ht="13.15" customHeight="1" x14ac:dyDescent="0.2">
      <c r="B73" s="95" t="s">
        <v>298</v>
      </c>
      <c r="C73" s="121">
        <v>0</v>
      </c>
      <c r="D73" s="121">
        <v>0</v>
      </c>
      <c r="E73" s="121">
        <v>0</v>
      </c>
      <c r="F73" s="121">
        <v>0</v>
      </c>
      <c r="G73" s="121">
        <v>0</v>
      </c>
      <c r="H73" s="121">
        <v>0</v>
      </c>
      <c r="J73" s="199" t="s">
        <v>336</v>
      </c>
    </row>
    <row r="74" spans="2:10" ht="13.15" customHeight="1" x14ac:dyDescent="0.2">
      <c r="B74" s="100" t="s">
        <v>179</v>
      </c>
      <c r="C74" s="179">
        <f>+SUM(C68:C73)</f>
        <v>1.0999999999999999E-2</v>
      </c>
      <c r="D74" s="179">
        <f t="shared" ref="D74:F74" si="15">+SUM(D68:D73)</f>
        <v>1.0999999999999999E-2</v>
      </c>
      <c r="E74" s="179">
        <f t="shared" si="15"/>
        <v>1.4E-2</v>
      </c>
      <c r="F74" s="179">
        <f t="shared" si="15"/>
        <v>1.4E-2</v>
      </c>
      <c r="G74" s="179">
        <f t="shared" ref="G74" si="16">+SUM(G68:G73)</f>
        <v>1.0999999999999999E-2</v>
      </c>
      <c r="H74" s="179">
        <f t="shared" ref="H74" si="17">+SUM(H68:H73)</f>
        <v>1.0999999999999999E-2</v>
      </c>
      <c r="J74" s="202" t="s">
        <v>334</v>
      </c>
    </row>
    <row r="75" spans="2:10" ht="13.15" customHeight="1" x14ac:dyDescent="0.2">
      <c r="B75" s="100"/>
      <c r="C75" s="97"/>
      <c r="D75" s="97"/>
      <c r="E75" s="97"/>
      <c r="F75" s="97"/>
      <c r="G75" s="97"/>
      <c r="H75" s="97"/>
    </row>
    <row r="76" spans="2:10" ht="13.15" customHeight="1" x14ac:dyDescent="0.2">
      <c r="B76" s="113" t="s">
        <v>328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</row>
    <row r="77" spans="2:10" ht="12" customHeight="1" x14ac:dyDescent="0.2">
      <c r="B77" s="118"/>
      <c r="C77" s="119"/>
      <c r="D77" s="119"/>
      <c r="E77" s="119"/>
      <c r="F77" s="119"/>
      <c r="G77" s="119"/>
      <c r="H77" s="119"/>
    </row>
    <row r="78" spans="2:10" ht="13.15" customHeight="1" x14ac:dyDescent="0.2">
      <c r="B78" s="110" t="s">
        <v>180</v>
      </c>
      <c r="C78" s="152">
        <f>+C74*(1+C76)</f>
        <v>1.0999999999999999E-2</v>
      </c>
      <c r="D78" s="152">
        <f t="shared" ref="D78:E78" si="18">+D74*(1+D76)</f>
        <v>1.0999999999999999E-2</v>
      </c>
      <c r="E78" s="152">
        <f t="shared" si="18"/>
        <v>1.4E-2</v>
      </c>
      <c r="F78" s="152">
        <f>+F74*(1+F76)</f>
        <v>1.4E-2</v>
      </c>
      <c r="G78" s="152">
        <f>+G74*(1+G76)</f>
        <v>1.0999999999999999E-2</v>
      </c>
      <c r="H78" s="152">
        <f t="shared" ref="H78" si="19">+H74*(1+H76)</f>
        <v>1.0999999999999999E-2</v>
      </c>
    </row>
    <row r="79" spans="2:10" ht="13.15" customHeight="1" x14ac:dyDescent="0.2"/>
    <row r="80" spans="2:10" ht="13.15" customHeight="1" x14ac:dyDescent="0.2"/>
    <row r="81" spans="2:8" x14ac:dyDescent="0.2">
      <c r="B81" s="147" t="s">
        <v>239</v>
      </c>
      <c r="C81" s="148"/>
      <c r="D81" s="148"/>
      <c r="E81" s="148"/>
      <c r="F81" s="148"/>
      <c r="G81" s="148"/>
      <c r="H81" s="148"/>
    </row>
    <row r="82" spans="2:8" x14ac:dyDescent="0.2">
      <c r="B82" s="154"/>
      <c r="C82" s="155"/>
      <c r="D82" s="155"/>
      <c r="E82" s="155"/>
      <c r="F82" s="155"/>
      <c r="G82" s="155"/>
      <c r="H82" s="155"/>
    </row>
    <row r="83" spans="2:8" x14ac:dyDescent="0.2">
      <c r="B83" s="100" t="s">
        <v>299</v>
      </c>
      <c r="C83" s="179">
        <f>+C62</f>
        <v>0.16239999999999999</v>
      </c>
      <c r="D83" s="179">
        <f>+D62</f>
        <v>0.14599999999999999</v>
      </c>
      <c r="E83" s="179">
        <f>+E62</f>
        <v>0.16800000000000001</v>
      </c>
      <c r="F83" s="179">
        <f>+F62</f>
        <v>0.15539999999999998</v>
      </c>
      <c r="G83" s="179">
        <f t="shared" ref="G83:H83" si="20">+G62</f>
        <v>0.11600000000000001</v>
      </c>
      <c r="H83" s="179">
        <f t="shared" si="20"/>
        <v>0.104</v>
      </c>
    </row>
    <row r="84" spans="2:8" x14ac:dyDescent="0.2">
      <c r="C84" s="182">
        <f>+C83*1000</f>
        <v>162.39999999999998</v>
      </c>
      <c r="D84" s="182">
        <f t="shared" ref="D84:F84" si="21">+D83*1000</f>
        <v>146</v>
      </c>
      <c r="E84" s="182">
        <f t="shared" si="21"/>
        <v>168</v>
      </c>
      <c r="F84" s="182">
        <f t="shared" si="21"/>
        <v>155.39999999999998</v>
      </c>
      <c r="G84" s="182">
        <f t="shared" ref="G84" si="22">+G83*1000</f>
        <v>116</v>
      </c>
      <c r="H84" s="182">
        <f t="shared" ref="H84" si="23">+H83*1000</f>
        <v>104</v>
      </c>
    </row>
    <row r="85" spans="2:8" x14ac:dyDescent="0.2">
      <c r="C85" s="182"/>
      <c r="D85" s="182"/>
      <c r="E85" s="182"/>
      <c r="F85" s="182"/>
      <c r="G85" s="182"/>
      <c r="H85" s="182"/>
    </row>
    <row r="86" spans="2:8" x14ac:dyDescent="0.2">
      <c r="B86" s="100" t="s">
        <v>315</v>
      </c>
      <c r="C86" s="179">
        <f>+C78</f>
        <v>1.0999999999999999E-2</v>
      </c>
      <c r="D86" s="179">
        <f t="shared" ref="D86:H86" si="24">+D78</f>
        <v>1.0999999999999999E-2</v>
      </c>
      <c r="E86" s="179">
        <f t="shared" si="24"/>
        <v>1.4E-2</v>
      </c>
      <c r="F86" s="179">
        <f t="shared" si="24"/>
        <v>1.4E-2</v>
      </c>
      <c r="G86" s="179">
        <f t="shared" si="24"/>
        <v>1.0999999999999999E-2</v>
      </c>
      <c r="H86" s="179">
        <f t="shared" si="24"/>
        <v>1.0999999999999999E-2</v>
      </c>
    </row>
    <row r="87" spans="2:8" x14ac:dyDescent="0.2">
      <c r="C87" s="182">
        <f>+C86*1000</f>
        <v>11</v>
      </c>
      <c r="D87" s="182">
        <f t="shared" ref="D87:F87" si="25">+D86*1000</f>
        <v>11</v>
      </c>
      <c r="E87" s="182">
        <f t="shared" si="25"/>
        <v>14</v>
      </c>
      <c r="F87" s="182">
        <f t="shared" si="25"/>
        <v>14</v>
      </c>
      <c r="G87" s="182">
        <f t="shared" ref="G87" si="26">+G86*1000</f>
        <v>11</v>
      </c>
      <c r="H87" s="182">
        <f t="shared" ref="H87" si="27">+H86*1000</f>
        <v>11</v>
      </c>
    </row>
    <row r="88" spans="2:8" x14ac:dyDescent="0.2">
      <c r="C88" s="182"/>
      <c r="D88" s="182"/>
      <c r="E88" s="182"/>
      <c r="F88" s="182"/>
      <c r="G88" s="182"/>
      <c r="H88" s="182"/>
    </row>
    <row r="89" spans="2:8" x14ac:dyDescent="0.2">
      <c r="B89" s="100" t="s">
        <v>319</v>
      </c>
      <c r="C89" s="180">
        <f>+C83+C86</f>
        <v>0.1734</v>
      </c>
      <c r="D89" s="180">
        <f t="shared" ref="D89:F89" si="28">+D83+D86</f>
        <v>0.157</v>
      </c>
      <c r="E89" s="180">
        <f t="shared" si="28"/>
        <v>0.18200000000000002</v>
      </c>
      <c r="F89" s="180">
        <f t="shared" si="28"/>
        <v>0.1694</v>
      </c>
      <c r="G89" s="180">
        <f t="shared" ref="G89:H89" si="29">+G83+G86</f>
        <v>0.127</v>
      </c>
      <c r="H89" s="180">
        <f t="shared" si="29"/>
        <v>0.11499999999999999</v>
      </c>
    </row>
    <row r="90" spans="2:8" x14ac:dyDescent="0.2">
      <c r="C90" s="98">
        <f>+C89*1000</f>
        <v>173.4</v>
      </c>
      <c r="D90" s="98">
        <f t="shared" ref="D90:F90" si="30">+D89*1000</f>
        <v>157</v>
      </c>
      <c r="E90" s="98">
        <f t="shared" si="30"/>
        <v>182.00000000000003</v>
      </c>
      <c r="F90" s="98">
        <f t="shared" si="30"/>
        <v>169.4</v>
      </c>
      <c r="G90" s="98">
        <f t="shared" ref="G90" si="31">+G89*1000</f>
        <v>127</v>
      </c>
      <c r="H90" s="98">
        <f t="shared" ref="H90" si="32">+H89*1000</f>
        <v>114.99999999999999</v>
      </c>
    </row>
    <row r="92" spans="2:8" ht="13.15" customHeight="1" x14ac:dyDescent="0.2"/>
    <row r="93" spans="2:8" ht="13.15" customHeight="1" x14ac:dyDescent="0.2"/>
    <row r="94" spans="2:8" ht="13.15" customHeight="1" x14ac:dyDescent="0.2">
      <c r="B94" s="115"/>
    </row>
    <row r="95" spans="2:8" ht="13.15" customHeight="1" x14ac:dyDescent="0.2"/>
    <row r="96" spans="2:8" ht="13.15" customHeight="1" x14ac:dyDescent="0.2">
      <c r="B96" s="115"/>
    </row>
    <row r="97" spans="10:11" ht="13.15" customHeight="1" x14ac:dyDescent="0.2"/>
    <row r="98" spans="10:11" ht="13.15" customHeight="1" x14ac:dyDescent="0.2"/>
    <row r="99" spans="10:11" ht="13.15" customHeight="1" x14ac:dyDescent="0.2"/>
    <row r="100" spans="10:11" ht="13.15" customHeight="1" x14ac:dyDescent="0.2"/>
    <row r="101" spans="10:11" ht="13.15" customHeight="1" x14ac:dyDescent="0.2"/>
    <row r="102" spans="10:11" ht="13.15" customHeight="1" x14ac:dyDescent="0.2"/>
    <row r="103" spans="10:11" ht="13.15" customHeight="1" x14ac:dyDescent="0.2"/>
    <row r="104" spans="10:11" ht="13.15" customHeight="1" x14ac:dyDescent="0.2">
      <c r="J104" s="203"/>
      <c r="K104" s="120"/>
    </row>
    <row r="105" spans="10:11" ht="13.15" customHeight="1" x14ac:dyDescent="0.2">
      <c r="J105" s="203"/>
      <c r="K105" s="120"/>
    </row>
    <row r="106" spans="10:11" ht="13.15" customHeight="1" x14ac:dyDescent="0.2"/>
    <row r="107" spans="10:11" ht="13.15" customHeight="1" x14ac:dyDescent="0.2"/>
    <row r="108" spans="10:11" ht="13.15" customHeight="1" x14ac:dyDescent="0.2"/>
    <row r="109" spans="10:11" ht="13.15" customHeight="1" x14ac:dyDescent="0.2"/>
    <row r="110" spans="10:11" ht="13.15" customHeight="1" x14ac:dyDescent="0.2"/>
    <row r="111" spans="10:11" ht="13.15" customHeight="1" x14ac:dyDescent="0.2"/>
    <row r="145" spans="2:2" ht="13.15" customHeight="1" x14ac:dyDescent="0.2"/>
    <row r="148" spans="2:2" x14ac:dyDescent="0.2">
      <c r="B148" s="97"/>
    </row>
  </sheetData>
  <autoFilter ref="B67:C74" xr:uid="{0A38252A-901E-4041-B58A-4531A199ADAE}"/>
  <pageMargins left="0.75" right="0.75" top="1" bottom="1" header="0.5" footer="0.5"/>
  <pageSetup paperSize="9" orientation="portrait" r:id="rId1"/>
  <ignoredErrors>
    <ignoredError sqref="C89 C86:C8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E114-142B-4832-B883-B1D3F818171D}">
  <sheetPr codeName="Hoja2"/>
  <dimension ref="C2:I224"/>
  <sheetViews>
    <sheetView showGridLines="0" zoomScaleNormal="100" workbookViewId="0">
      <pane ySplit="12" topLeftCell="A13" activePane="bottomLeft" state="frozen"/>
      <selection pane="bottomLeft" activeCell="G76" sqref="G76"/>
    </sheetView>
  </sheetViews>
  <sheetFormatPr baseColWidth="10" defaultColWidth="8.85546875" defaultRowHeight="12" outlineLevelRow="1" x14ac:dyDescent="0.2"/>
  <cols>
    <col min="1" max="2" width="5.42578125" style="95" customWidth="1"/>
    <col min="3" max="3" width="14.42578125" style="95" customWidth="1"/>
    <col min="4" max="4" width="27.28515625" style="95" customWidth="1"/>
    <col min="5" max="5" width="26.42578125" style="95" customWidth="1"/>
    <col min="6" max="6" width="5.7109375" style="95" customWidth="1"/>
    <col min="7" max="7" width="8.85546875" style="184"/>
    <col min="8" max="16384" width="8.85546875" style="95"/>
  </cols>
  <sheetData>
    <row r="2" spans="3:9" x14ac:dyDescent="0.2">
      <c r="C2" s="95" t="s">
        <v>353</v>
      </c>
      <c r="E2" s="198" t="s">
        <v>352</v>
      </c>
    </row>
    <row r="3" spans="3:9" x14ac:dyDescent="0.2">
      <c r="C3" s="143" t="s">
        <v>300</v>
      </c>
      <c r="D3" s="143"/>
      <c r="E3" s="144"/>
    </row>
    <row r="4" spans="3:9" x14ac:dyDescent="0.2">
      <c r="C4" s="100" t="s">
        <v>181</v>
      </c>
      <c r="D4" s="100"/>
      <c r="E4" s="97" t="s">
        <v>338</v>
      </c>
    </row>
    <row r="5" spans="3:9" x14ac:dyDescent="0.2">
      <c r="C5" s="100" t="s">
        <v>182</v>
      </c>
      <c r="D5" s="100"/>
      <c r="E5" s="108" t="s">
        <v>339</v>
      </c>
    </row>
    <row r="6" spans="3:9" ht="12.6" customHeight="1" x14ac:dyDescent="0.2">
      <c r="C6" s="100" t="s">
        <v>313</v>
      </c>
      <c r="D6" s="100"/>
      <c r="E6" s="97" t="s">
        <v>340</v>
      </c>
    </row>
    <row r="7" spans="3:9" x14ac:dyDescent="0.2">
      <c r="C7" s="100" t="s">
        <v>314</v>
      </c>
      <c r="D7" s="100"/>
      <c r="E7" s="97"/>
    </row>
    <row r="8" spans="3:9" x14ac:dyDescent="0.2">
      <c r="C8" s="100" t="s">
        <v>178</v>
      </c>
      <c r="D8" s="100"/>
      <c r="E8" s="97"/>
    </row>
    <row r="9" spans="3:9" x14ac:dyDescent="0.2">
      <c r="C9" s="95" t="s">
        <v>177</v>
      </c>
      <c r="E9" s="145">
        <v>10</v>
      </c>
      <c r="G9" s="184" t="s">
        <v>374</v>
      </c>
    </row>
    <row r="10" spans="3:9" x14ac:dyDescent="0.2">
      <c r="C10" s="95" t="s">
        <v>233</v>
      </c>
      <c r="E10" s="146">
        <v>3000</v>
      </c>
    </row>
    <row r="11" spans="3:9" x14ac:dyDescent="0.2">
      <c r="C11" s="95" t="s">
        <v>175</v>
      </c>
      <c r="E11" s="146">
        <v>300000</v>
      </c>
      <c r="G11" s="194" t="s">
        <v>320</v>
      </c>
      <c r="H11" s="194"/>
      <c r="I11" s="194"/>
    </row>
    <row r="12" spans="3:9" ht="2.4500000000000002" customHeight="1" x14ac:dyDescent="0.2"/>
    <row r="14" spans="3:9" ht="13.9" customHeight="1" x14ac:dyDescent="0.2">
      <c r="C14" s="208" t="s">
        <v>303</v>
      </c>
      <c r="D14" s="208"/>
      <c r="E14" s="209"/>
    </row>
    <row r="15" spans="3:9" ht="4.1500000000000004" customHeight="1" x14ac:dyDescent="0.2">
      <c r="C15" s="100"/>
      <c r="D15" s="100"/>
    </row>
    <row r="16" spans="3:9" ht="4.1500000000000004" customHeight="1" x14ac:dyDescent="0.2">
      <c r="C16" s="100"/>
      <c r="D16" s="100"/>
    </row>
    <row r="17" spans="3:9" x14ac:dyDescent="0.2">
      <c r="C17" s="193" t="s">
        <v>341</v>
      </c>
      <c r="D17" s="193"/>
      <c r="E17" s="194"/>
    </row>
    <row r="19" spans="3:9" x14ac:dyDescent="0.2">
      <c r="C19" s="95" t="s">
        <v>342</v>
      </c>
      <c r="E19" s="150">
        <v>5.12</v>
      </c>
      <c r="G19" s="184" t="s">
        <v>350</v>
      </c>
    </row>
    <row r="22" spans="3:9" x14ac:dyDescent="0.2">
      <c r="C22" s="193" t="s">
        <v>343</v>
      </c>
      <c r="D22" s="193"/>
      <c r="E22" s="194"/>
    </row>
    <row r="24" spans="3:9" ht="15.6" customHeight="1" x14ac:dyDescent="0.2">
      <c r="C24" s="141" t="s">
        <v>316</v>
      </c>
      <c r="D24" s="141"/>
      <c r="E24" s="141" t="s">
        <v>278</v>
      </c>
    </row>
    <row r="25" spans="3:9" x14ac:dyDescent="0.2">
      <c r="C25" s="96" t="s">
        <v>225</v>
      </c>
      <c r="D25" s="96"/>
      <c r="E25" s="206">
        <v>239</v>
      </c>
      <c r="G25" s="184" t="s">
        <v>354</v>
      </c>
    </row>
    <row r="26" spans="3:9" x14ac:dyDescent="0.2">
      <c r="C26" s="96"/>
      <c r="D26" s="96"/>
      <c r="E26" s="149"/>
    </row>
    <row r="27" spans="3:9" x14ac:dyDescent="0.2">
      <c r="C27" s="95" t="s">
        <v>200</v>
      </c>
      <c r="E27" s="104">
        <v>675</v>
      </c>
      <c r="G27" s="184" t="s">
        <v>351</v>
      </c>
      <c r="I27" s="96" t="s">
        <v>372</v>
      </c>
    </row>
    <row r="28" spans="3:9" x14ac:dyDescent="0.2">
      <c r="G28" s="95"/>
    </row>
    <row r="29" spans="3:9" x14ac:dyDescent="0.2">
      <c r="C29" s="100" t="s">
        <v>344</v>
      </c>
      <c r="D29" s="100"/>
      <c r="E29" s="150">
        <f>+(E27/60)*(E25/E10)</f>
        <v>0.89624999999999999</v>
      </c>
    </row>
    <row r="32" spans="3:9" x14ac:dyDescent="0.2">
      <c r="C32" s="193" t="s">
        <v>345</v>
      </c>
      <c r="D32" s="193"/>
      <c r="E32" s="194"/>
    </row>
    <row r="34" spans="3:7" x14ac:dyDescent="0.2">
      <c r="C34" s="95" t="s">
        <v>357</v>
      </c>
      <c r="E34" s="111">
        <v>0</v>
      </c>
    </row>
    <row r="35" spans="3:7" x14ac:dyDescent="0.2">
      <c r="C35" s="95" t="s">
        <v>358</v>
      </c>
      <c r="E35" s="111">
        <v>0</v>
      </c>
    </row>
    <row r="36" spans="3:7" x14ac:dyDescent="0.2">
      <c r="C36" s="95" t="s">
        <v>284</v>
      </c>
      <c r="E36" s="111">
        <v>0</v>
      </c>
    </row>
    <row r="37" spans="3:7" x14ac:dyDescent="0.2">
      <c r="C37" s="95" t="s">
        <v>205</v>
      </c>
      <c r="E37" s="111">
        <v>3</v>
      </c>
    </row>
    <row r="38" spans="3:7" x14ac:dyDescent="0.2">
      <c r="C38" s="95" t="s">
        <v>206</v>
      </c>
      <c r="E38" s="111">
        <v>2</v>
      </c>
    </row>
    <row r="39" spans="3:7" x14ac:dyDescent="0.2">
      <c r="C39" s="95" t="s">
        <v>207</v>
      </c>
      <c r="E39" s="111">
        <v>3</v>
      </c>
      <c r="G39" s="184" t="s">
        <v>356</v>
      </c>
    </row>
    <row r="41" spans="3:7" x14ac:dyDescent="0.2">
      <c r="C41" s="95" t="s">
        <v>201</v>
      </c>
      <c r="E41" s="102">
        <f>+E34*'BD tasas y precios'!C30/E10</f>
        <v>0</v>
      </c>
    </row>
    <row r="42" spans="3:7" x14ac:dyDescent="0.2">
      <c r="C42" s="95" t="s">
        <v>204</v>
      </c>
      <c r="E42" s="102">
        <f>+E35*'BD tasas y precios'!C29/E10</f>
        <v>0</v>
      </c>
    </row>
    <row r="43" spans="3:7" x14ac:dyDescent="0.2">
      <c r="C43" s="95" t="s">
        <v>202</v>
      </c>
      <c r="E43" s="102">
        <f>+'BD tasas y precios'!C28*E36/E10</f>
        <v>0</v>
      </c>
    </row>
    <row r="44" spans="3:7" x14ac:dyDescent="0.2">
      <c r="C44" s="95" t="s">
        <v>203</v>
      </c>
      <c r="E44" s="102">
        <f>+'BD tasas y precios'!C27*E37/E10</f>
        <v>0.21</v>
      </c>
    </row>
    <row r="45" spans="3:7" x14ac:dyDescent="0.2">
      <c r="C45" s="95" t="s">
        <v>209</v>
      </c>
      <c r="E45" s="98">
        <f>+'BD tasas y precios'!C26*E38/E10</f>
        <v>0</v>
      </c>
      <c r="G45" s="184" t="s">
        <v>355</v>
      </c>
    </row>
    <row r="46" spans="3:7" x14ac:dyDescent="0.2">
      <c r="C46" s="95" t="s">
        <v>208</v>
      </c>
      <c r="E46" s="102">
        <f>+'BD tasas y precios'!C25*E39/E10</f>
        <v>1.7000000000000001E-2</v>
      </c>
    </row>
    <row r="47" spans="3:7" x14ac:dyDescent="0.2">
      <c r="E47" s="116"/>
    </row>
    <row r="48" spans="3:7" x14ac:dyDescent="0.2">
      <c r="C48" s="100" t="s">
        <v>224</v>
      </c>
      <c r="D48" s="100"/>
      <c r="E48" s="150">
        <f>+SUM(E41,E42,E43,E44,E45,E46)</f>
        <v>0.22699999999999998</v>
      </c>
    </row>
    <row r="51" spans="3:7" x14ac:dyDescent="0.2">
      <c r="C51" s="193" t="s">
        <v>346</v>
      </c>
      <c r="D51" s="193"/>
      <c r="E51" s="194"/>
    </row>
    <row r="53" spans="3:7" x14ac:dyDescent="0.2">
      <c r="C53" s="95" t="s">
        <v>359</v>
      </c>
      <c r="E53" s="102">
        <f>+E19</f>
        <v>5.12</v>
      </c>
    </row>
    <row r="54" spans="3:7" x14ac:dyDescent="0.2">
      <c r="C54" s="95" t="s">
        <v>360</v>
      </c>
      <c r="E54" s="102">
        <f>+E29</f>
        <v>0.89624999999999999</v>
      </c>
    </row>
    <row r="55" spans="3:7" x14ac:dyDescent="0.2">
      <c r="C55" s="95" t="s">
        <v>361</v>
      </c>
      <c r="E55" s="102">
        <f>+E48</f>
        <v>0.22699999999999998</v>
      </c>
    </row>
    <row r="56" spans="3:7" x14ac:dyDescent="0.2">
      <c r="C56" s="100" t="s">
        <v>347</v>
      </c>
      <c r="D56" s="100"/>
      <c r="E56" s="197">
        <f>+SUM(E53,E54,E55)</f>
        <v>6.2432500000000006</v>
      </c>
    </row>
    <row r="57" spans="3:7" ht="9" customHeight="1" x14ac:dyDescent="0.2">
      <c r="C57" s="100"/>
      <c r="D57" s="100"/>
      <c r="E57" s="197"/>
    </row>
    <row r="58" spans="3:7" x14ac:dyDescent="0.2">
      <c r="C58" s="95" t="s">
        <v>348</v>
      </c>
      <c r="E58" s="112">
        <v>0.03</v>
      </c>
      <c r="G58" s="105" t="s">
        <v>365</v>
      </c>
    </row>
    <row r="59" spans="3:7" ht="6" customHeight="1" x14ac:dyDescent="0.2"/>
    <row r="60" spans="3:7" x14ac:dyDescent="0.2">
      <c r="C60" s="100" t="s">
        <v>210</v>
      </c>
      <c r="D60" s="100"/>
      <c r="E60" s="106">
        <f>+E56*E58</f>
        <v>0.18729750000000001</v>
      </c>
    </row>
    <row r="61" spans="3:7" ht="4.9000000000000004" customHeight="1" x14ac:dyDescent="0.2">
      <c r="C61" s="100"/>
      <c r="D61" s="100"/>
      <c r="E61" s="106"/>
    </row>
    <row r="62" spans="3:7" x14ac:dyDescent="0.2">
      <c r="C62" s="95" t="s">
        <v>349</v>
      </c>
      <c r="E62" s="112">
        <v>0.05</v>
      </c>
      <c r="G62" s="105" t="s">
        <v>365</v>
      </c>
    </row>
    <row r="63" spans="3:7" ht="4.9000000000000004" customHeight="1" x14ac:dyDescent="0.2"/>
    <row r="64" spans="3:7" x14ac:dyDescent="0.2">
      <c r="C64" s="100" t="s">
        <v>211</v>
      </c>
      <c r="D64" s="100"/>
      <c r="E64" s="106">
        <f>+(E56+E60)*E62</f>
        <v>0.32152737500000006</v>
      </c>
    </row>
    <row r="66" spans="3:7" x14ac:dyDescent="0.2">
      <c r="C66" s="110" t="s">
        <v>259</v>
      </c>
      <c r="D66" s="110"/>
      <c r="E66" s="150">
        <f>+E56+E60+E64</f>
        <v>6.7520748749999999</v>
      </c>
    </row>
    <row r="67" spans="3:7" ht="12.75" thickBot="1" x14ac:dyDescent="0.25"/>
    <row r="68" spans="3:7" ht="12.75" thickBot="1" x14ac:dyDescent="0.25">
      <c r="C68" s="110" t="s">
        <v>234</v>
      </c>
      <c r="D68" s="110"/>
      <c r="E68" s="173">
        <f>+E66/1000*E9</f>
        <v>6.7520748749999998E-2</v>
      </c>
    </row>
    <row r="69" spans="3:7" x14ac:dyDescent="0.2">
      <c r="E69" s="210">
        <f>+E68*1000</f>
        <v>67.520748749999996</v>
      </c>
    </row>
    <row r="72" spans="3:7" ht="13.15" customHeight="1" x14ac:dyDescent="0.2">
      <c r="C72" s="193" t="s">
        <v>258</v>
      </c>
      <c r="D72" s="193"/>
      <c r="E72" s="194"/>
      <c r="G72" s="95"/>
    </row>
    <row r="73" spans="3:7" ht="13.15" customHeight="1" x14ac:dyDescent="0.2"/>
    <row r="74" spans="3:7" ht="13.15" customHeight="1" x14ac:dyDescent="0.2">
      <c r="C74" s="95" t="s">
        <v>282</v>
      </c>
      <c r="E74" s="205">
        <f>+'BD tasas y precios'!$C$12*1.02</f>
        <v>32.844000000000001</v>
      </c>
    </row>
    <row r="75" spans="3:7" ht="13.15" customHeight="1" x14ac:dyDescent="0.2"/>
    <row r="76" spans="3:7" ht="13.15" customHeight="1" x14ac:dyDescent="0.2">
      <c r="C76" s="151" t="s">
        <v>247</v>
      </c>
      <c r="D76" s="151"/>
      <c r="E76" s="160" t="s">
        <v>308</v>
      </c>
      <c r="G76" s="95"/>
    </row>
    <row r="77" spans="3:7" ht="13.15" hidden="1" customHeight="1" outlineLevel="1" x14ac:dyDescent="0.2">
      <c r="C77" s="95" t="s">
        <v>283</v>
      </c>
      <c r="E77" s="97" t="s">
        <v>309</v>
      </c>
    </row>
    <row r="78" spans="3:7" ht="13.15" hidden="1" customHeight="1" outlineLevel="1" x14ac:dyDescent="0.2">
      <c r="C78" s="95" t="s">
        <v>288</v>
      </c>
      <c r="E78" s="97" t="s">
        <v>309</v>
      </c>
      <c r="G78" s="95"/>
    </row>
    <row r="79" spans="3:7" ht="13.15" hidden="1" customHeight="1" outlineLevel="1" x14ac:dyDescent="0.2">
      <c r="C79" s="95" t="s">
        <v>289</v>
      </c>
      <c r="E79" s="97" t="s">
        <v>312</v>
      </c>
    </row>
    <row r="80" spans="3:7" ht="13.15" hidden="1" customHeight="1" outlineLevel="1" x14ac:dyDescent="0.2">
      <c r="C80" s="95" t="s">
        <v>248</v>
      </c>
      <c r="E80" s="178">
        <v>0</v>
      </c>
    </row>
    <row r="81" spans="3:5" hidden="1" outlineLevel="1" x14ac:dyDescent="0.2">
      <c r="C81" s="95" t="s">
        <v>283</v>
      </c>
      <c r="E81" s="174" t="s">
        <v>312</v>
      </c>
    </row>
    <row r="82" spans="3:5" hidden="1" outlineLevel="1" x14ac:dyDescent="0.2">
      <c r="C82" s="95" t="s">
        <v>317</v>
      </c>
      <c r="E82" s="195">
        <v>0</v>
      </c>
    </row>
    <row r="83" spans="3:5" hidden="1" outlineLevel="1" x14ac:dyDescent="0.2">
      <c r="C83" s="110" t="s">
        <v>285</v>
      </c>
      <c r="D83" s="110"/>
      <c r="E83" s="196">
        <f>+IF(E80&gt;0,E82*1.85,E82)</f>
        <v>0</v>
      </c>
    </row>
    <row r="84" spans="3:5" ht="13.15" customHeight="1" collapsed="1" x14ac:dyDescent="0.2"/>
    <row r="85" spans="3:5" ht="13.15" customHeight="1" x14ac:dyDescent="0.2">
      <c r="C85" s="151" t="s">
        <v>247</v>
      </c>
      <c r="D85" s="151"/>
      <c r="E85" s="160" t="s">
        <v>325</v>
      </c>
    </row>
    <row r="86" spans="3:5" s="187" customFormat="1" ht="13.15" customHeight="1" outlineLevel="1" x14ac:dyDescent="0.2">
      <c r="C86" s="187" t="s">
        <v>283</v>
      </c>
      <c r="E86" s="188"/>
    </row>
    <row r="87" spans="3:5" s="187" customFormat="1" ht="13.15" customHeight="1" outlineLevel="1" x14ac:dyDescent="0.2">
      <c r="C87" s="187" t="s">
        <v>288</v>
      </c>
      <c r="E87" s="188">
        <v>1400</v>
      </c>
    </row>
    <row r="88" spans="3:5" s="187" customFormat="1" ht="8.4499999999999993" customHeight="1" outlineLevel="1" x14ac:dyDescent="0.2"/>
    <row r="89" spans="3:5" s="187" customFormat="1" ht="13.15" customHeight="1" outlineLevel="1" x14ac:dyDescent="0.2">
      <c r="C89" s="187" t="s">
        <v>289</v>
      </c>
      <c r="E89" s="207">
        <f>+E11</f>
        <v>300000</v>
      </c>
    </row>
    <row r="90" spans="3:5" s="187" customFormat="1" ht="7.15" customHeight="1" outlineLevel="1" x14ac:dyDescent="0.2"/>
    <row r="91" spans="3:5" s="187" customFormat="1" ht="13.15" customHeight="1" outlineLevel="1" x14ac:dyDescent="0.2">
      <c r="C91" s="187" t="s">
        <v>248</v>
      </c>
      <c r="E91" s="189">
        <v>4.5</v>
      </c>
    </row>
    <row r="92" spans="3:5" s="187" customFormat="1" ht="7.15" customHeight="1" outlineLevel="1" x14ac:dyDescent="0.2"/>
    <row r="93" spans="3:5" s="187" customFormat="1" ht="13.15" customHeight="1" outlineLevel="1" x14ac:dyDescent="0.2">
      <c r="C93" s="187" t="s">
        <v>283</v>
      </c>
      <c r="E93" s="204">
        <f>+IFERROR(IF(E86&gt;0,E86*E91,E89/E87*E91),"")</f>
        <v>964.28571428571422</v>
      </c>
    </row>
    <row r="94" spans="3:5" s="187" customFormat="1" ht="6.6" customHeight="1" outlineLevel="1" x14ac:dyDescent="0.2"/>
    <row r="95" spans="3:5" s="187" customFormat="1" ht="13.15" customHeight="1" outlineLevel="1" x14ac:dyDescent="0.2">
      <c r="C95" s="191" t="s">
        <v>285</v>
      </c>
      <c r="D95" s="191"/>
      <c r="E95" s="213">
        <f>+IFERROR(($E$74*E93)/E11,"")</f>
        <v>0.10557</v>
      </c>
    </row>
    <row r="96" spans="3:5" ht="13.15" customHeight="1" x14ac:dyDescent="0.2">
      <c r="E96" s="153"/>
    </row>
    <row r="97" spans="3:7" ht="13.15" customHeight="1" x14ac:dyDescent="0.2">
      <c r="C97" s="151" t="s">
        <v>247</v>
      </c>
      <c r="D97" s="151"/>
      <c r="E97" s="160" t="s">
        <v>17</v>
      </c>
    </row>
    <row r="98" spans="3:7" ht="13.15" customHeight="1" outlineLevel="1" x14ac:dyDescent="0.2">
      <c r="C98" s="95" t="s">
        <v>283</v>
      </c>
      <c r="E98" s="158"/>
      <c r="G98" s="95"/>
    </row>
    <row r="99" spans="3:7" ht="13.15" customHeight="1" outlineLevel="1" x14ac:dyDescent="0.2">
      <c r="C99" s="95" t="s">
        <v>288</v>
      </c>
      <c r="E99" s="158">
        <v>850</v>
      </c>
      <c r="G99" s="95"/>
    </row>
    <row r="100" spans="3:7" s="187" customFormat="1" ht="8.4499999999999993" customHeight="1" outlineLevel="1" x14ac:dyDescent="0.2"/>
    <row r="101" spans="3:7" ht="13.15" customHeight="1" outlineLevel="1" x14ac:dyDescent="0.2">
      <c r="C101" s="95" t="s">
        <v>289</v>
      </c>
      <c r="E101" s="207">
        <f>+E11</f>
        <v>300000</v>
      </c>
      <c r="G101" s="95"/>
    </row>
    <row r="102" spans="3:7" ht="7.9" customHeight="1" outlineLevel="1" x14ac:dyDescent="0.2">
      <c r="G102" s="95"/>
    </row>
    <row r="103" spans="3:7" ht="13.15" customHeight="1" outlineLevel="1" x14ac:dyDescent="0.2">
      <c r="C103" s="95" t="s">
        <v>248</v>
      </c>
      <c r="E103" s="111">
        <v>3.5</v>
      </c>
      <c r="G103" s="95"/>
    </row>
    <row r="104" spans="3:7" ht="4.1500000000000004" customHeight="1" outlineLevel="1" x14ac:dyDescent="0.2">
      <c r="G104" s="95"/>
    </row>
    <row r="105" spans="3:7" ht="13.15" customHeight="1" outlineLevel="1" x14ac:dyDescent="0.2">
      <c r="C105" s="95" t="s">
        <v>283</v>
      </c>
      <c r="E105" s="204">
        <f>+IFERROR(IF(E98&gt;0,E98*E103,E101/E99*E103),"")</f>
        <v>1235.2941176470588</v>
      </c>
      <c r="G105" s="95"/>
    </row>
    <row r="106" spans="3:7" ht="13.15" customHeight="1" outlineLevel="1" x14ac:dyDescent="0.2">
      <c r="G106" s="95"/>
    </row>
    <row r="107" spans="3:7" ht="13.15" customHeight="1" outlineLevel="1" x14ac:dyDescent="0.2">
      <c r="C107" s="110" t="s">
        <v>285</v>
      </c>
      <c r="D107" s="110"/>
      <c r="E107" s="212">
        <f>+IFERROR(($E$74*E105)/E11,"")</f>
        <v>0.13524</v>
      </c>
      <c r="G107" s="95"/>
    </row>
    <row r="108" spans="3:7" ht="13.15" customHeight="1" x14ac:dyDescent="0.2">
      <c r="E108" s="153"/>
    </row>
    <row r="109" spans="3:7" ht="13.15" customHeight="1" x14ac:dyDescent="0.2">
      <c r="C109" s="151" t="s">
        <v>247</v>
      </c>
      <c r="D109" s="151"/>
      <c r="E109" s="160" t="s">
        <v>291</v>
      </c>
    </row>
    <row r="110" spans="3:7" ht="13.15" hidden="1" customHeight="1" outlineLevel="1" x14ac:dyDescent="0.2">
      <c r="C110" s="95" t="s">
        <v>283</v>
      </c>
      <c r="E110" s="158"/>
      <c r="G110" s="95"/>
    </row>
    <row r="111" spans="3:7" ht="13.15" hidden="1" customHeight="1" outlineLevel="1" x14ac:dyDescent="0.2">
      <c r="C111" s="95" t="s">
        <v>288</v>
      </c>
      <c r="E111" s="158"/>
      <c r="G111" s="95"/>
    </row>
    <row r="112" spans="3:7" s="187" customFormat="1" ht="8.4499999999999993" hidden="1" customHeight="1" outlineLevel="1" x14ac:dyDescent="0.2"/>
    <row r="113" spans="3:7" ht="13.15" hidden="1" customHeight="1" outlineLevel="1" x14ac:dyDescent="0.2">
      <c r="C113" s="95" t="s">
        <v>289</v>
      </c>
      <c r="E113" s="207">
        <f>+E11</f>
        <v>300000</v>
      </c>
      <c r="G113" s="95"/>
    </row>
    <row r="114" spans="3:7" s="187" customFormat="1" ht="8.4499999999999993" hidden="1" customHeight="1" outlineLevel="1" x14ac:dyDescent="0.2"/>
    <row r="115" spans="3:7" ht="13.15" hidden="1" customHeight="1" outlineLevel="1" x14ac:dyDescent="0.2">
      <c r="C115" s="95" t="s">
        <v>248</v>
      </c>
      <c r="E115" s="111"/>
      <c r="G115" s="95"/>
    </row>
    <row r="116" spans="3:7" s="187" customFormat="1" ht="8.4499999999999993" hidden="1" customHeight="1" outlineLevel="1" x14ac:dyDescent="0.2"/>
    <row r="117" spans="3:7" ht="13.15" hidden="1" customHeight="1" outlineLevel="1" x14ac:dyDescent="0.2">
      <c r="C117" s="95" t="s">
        <v>283</v>
      </c>
      <c r="E117" s="174" t="str">
        <f>+IFERROR(IF(E110&gt;0,E110*E115,E113/E111*E115),"")</f>
        <v/>
      </c>
      <c r="G117" s="95"/>
    </row>
    <row r="118" spans="3:7" s="187" customFormat="1" ht="8.4499999999999993" hidden="1" customHeight="1" outlineLevel="1" x14ac:dyDescent="0.2"/>
    <row r="119" spans="3:7" ht="13.15" hidden="1" customHeight="1" outlineLevel="1" x14ac:dyDescent="0.2">
      <c r="C119" s="110" t="s">
        <v>285</v>
      </c>
      <c r="D119" s="110"/>
      <c r="E119" s="159" t="str">
        <f>+IFERROR(($E$74*E117)/E11,"")</f>
        <v/>
      </c>
      <c r="G119" s="95"/>
    </row>
    <row r="120" spans="3:7" ht="13.15" customHeight="1" collapsed="1" x14ac:dyDescent="0.2">
      <c r="E120" s="153"/>
    </row>
    <row r="121" spans="3:7" ht="13.15" customHeight="1" x14ac:dyDescent="0.2">
      <c r="C121" s="151" t="s">
        <v>247</v>
      </c>
      <c r="D121" s="151"/>
      <c r="E121" s="160" t="s">
        <v>290</v>
      </c>
    </row>
    <row r="122" spans="3:7" ht="13.15" customHeight="1" outlineLevel="1" x14ac:dyDescent="0.2">
      <c r="C122" s="95" t="s">
        <v>283</v>
      </c>
      <c r="E122" s="158"/>
      <c r="G122" s="95"/>
    </row>
    <row r="123" spans="3:7" ht="13.15" customHeight="1" outlineLevel="1" x14ac:dyDescent="0.2">
      <c r="C123" s="95" t="s">
        <v>288</v>
      </c>
      <c r="E123" s="158"/>
      <c r="G123" s="95"/>
    </row>
    <row r="124" spans="3:7" s="187" customFormat="1" ht="8.4499999999999993" customHeight="1" outlineLevel="1" x14ac:dyDescent="0.2"/>
    <row r="125" spans="3:7" ht="13.15" customHeight="1" outlineLevel="1" x14ac:dyDescent="0.2">
      <c r="C125" s="95" t="s">
        <v>289</v>
      </c>
      <c r="E125" s="207">
        <f>+E11</f>
        <v>300000</v>
      </c>
      <c r="G125" s="95"/>
    </row>
    <row r="126" spans="3:7" ht="7.15" customHeight="1" outlineLevel="1" x14ac:dyDescent="0.2">
      <c r="G126" s="95"/>
    </row>
    <row r="127" spans="3:7" ht="13.15" customHeight="1" outlineLevel="1" x14ac:dyDescent="0.2">
      <c r="C127" s="95" t="s">
        <v>248</v>
      </c>
      <c r="E127" s="111"/>
      <c r="G127" s="95"/>
    </row>
    <row r="128" spans="3:7" ht="7.15" customHeight="1" outlineLevel="1" x14ac:dyDescent="0.2">
      <c r="G128" s="95"/>
    </row>
    <row r="129" spans="3:7" ht="13.15" customHeight="1" outlineLevel="1" x14ac:dyDescent="0.2">
      <c r="C129" s="95" t="s">
        <v>283</v>
      </c>
      <c r="E129" s="174" t="str">
        <f>+IFERROR(IF(E122&gt;0,E122*E127,E125/E123*E127),"")</f>
        <v/>
      </c>
      <c r="G129" s="95"/>
    </row>
    <row r="130" spans="3:7" ht="7.15" customHeight="1" outlineLevel="1" x14ac:dyDescent="0.2">
      <c r="G130" s="95"/>
    </row>
    <row r="131" spans="3:7" ht="13.15" customHeight="1" outlineLevel="1" x14ac:dyDescent="0.2">
      <c r="C131" s="110" t="s">
        <v>285</v>
      </c>
      <c r="D131" s="110"/>
      <c r="E131" s="159" t="str">
        <f>+IFERROR(($E$74*E129)/E11,"")</f>
        <v/>
      </c>
      <c r="G131" s="95"/>
    </row>
    <row r="132" spans="3:7" ht="13.15" customHeight="1" x14ac:dyDescent="0.2">
      <c r="E132" s="153"/>
    </row>
    <row r="133" spans="3:7" ht="13.15" customHeight="1" thickBot="1" x14ac:dyDescent="0.25"/>
    <row r="134" spans="3:7" ht="13.15" customHeight="1" thickBot="1" x14ac:dyDescent="0.25">
      <c r="C134" s="110" t="s">
        <v>326</v>
      </c>
      <c r="D134" s="110"/>
      <c r="E134" s="183">
        <f>+SUM(E83,E95,E107,E119,E131)</f>
        <v>0.24081</v>
      </c>
    </row>
    <row r="135" spans="3:7" x14ac:dyDescent="0.2">
      <c r="E135" s="210">
        <f>+E134*1000</f>
        <v>240.81</v>
      </c>
    </row>
    <row r="136" spans="3:7" ht="13.15" customHeight="1" x14ac:dyDescent="0.2"/>
    <row r="137" spans="3:7" ht="13.15" customHeight="1" x14ac:dyDescent="0.2">
      <c r="C137" s="147" t="s">
        <v>226</v>
      </c>
      <c r="D137" s="147"/>
      <c r="E137" s="148"/>
    </row>
    <row r="138" spans="3:7" ht="13.15" customHeight="1" x14ac:dyDescent="0.2"/>
    <row r="139" spans="3:7" ht="13.15" customHeight="1" x14ac:dyDescent="0.2">
      <c r="C139" s="151" t="s">
        <v>318</v>
      </c>
      <c r="D139" s="151"/>
      <c r="E139" s="160" t="s">
        <v>327</v>
      </c>
    </row>
    <row r="140" spans="3:7" ht="13.15" customHeight="1" x14ac:dyDescent="0.2">
      <c r="C140" s="100" t="s">
        <v>178</v>
      </c>
      <c r="D140" s="211" t="s">
        <v>366</v>
      </c>
      <c r="E140" s="122">
        <v>0.22090000000000001</v>
      </c>
      <c r="G140" s="95" t="s">
        <v>373</v>
      </c>
    </row>
    <row r="141" spans="3:7" ht="13.15" customHeight="1" x14ac:dyDescent="0.2">
      <c r="C141" s="100" t="s">
        <v>318</v>
      </c>
      <c r="D141" s="211" t="s">
        <v>367</v>
      </c>
      <c r="E141" s="122">
        <v>0.26500000000000001</v>
      </c>
      <c r="G141" s="95"/>
    </row>
    <row r="142" spans="3:7" ht="13.15" customHeight="1" x14ac:dyDescent="0.2">
      <c r="C142" s="100" t="s">
        <v>296</v>
      </c>
      <c r="D142" s="211" t="s">
        <v>368</v>
      </c>
      <c r="E142" s="122">
        <v>5.2999999999999999E-2</v>
      </c>
      <c r="G142" s="95"/>
    </row>
    <row r="143" spans="3:7" ht="13.15" customHeight="1" x14ac:dyDescent="0.2">
      <c r="C143" s="100" t="s">
        <v>183</v>
      </c>
      <c r="D143" s="211" t="s">
        <v>369</v>
      </c>
      <c r="E143" s="122">
        <v>8.9999999999999993E-3</v>
      </c>
      <c r="G143" s="95"/>
    </row>
    <row r="144" spans="3:7" ht="13.15" customHeight="1" x14ac:dyDescent="0.2">
      <c r="C144" s="100" t="s">
        <v>297</v>
      </c>
      <c r="D144" s="211" t="s">
        <v>370</v>
      </c>
      <c r="E144" s="121">
        <v>1E-3</v>
      </c>
      <c r="G144" s="95"/>
    </row>
    <row r="145" spans="3:7" ht="13.15" customHeight="1" x14ac:dyDescent="0.2">
      <c r="C145" s="100" t="s">
        <v>298</v>
      </c>
      <c r="D145" s="211" t="s">
        <v>371</v>
      </c>
      <c r="E145" s="122">
        <v>2E-3</v>
      </c>
      <c r="G145" s="95"/>
    </row>
    <row r="146" spans="3:7" ht="13.15" customHeight="1" x14ac:dyDescent="0.2">
      <c r="G146" s="95"/>
    </row>
    <row r="147" spans="3:7" ht="13.15" customHeight="1" x14ac:dyDescent="0.2">
      <c r="C147" s="100" t="s">
        <v>179</v>
      </c>
      <c r="D147" s="100"/>
      <c r="E147" s="179">
        <f>+SUM(E140:E145)</f>
        <v>0.55090000000000006</v>
      </c>
      <c r="G147" s="108"/>
    </row>
    <row r="148" spans="3:7" ht="13.15" customHeight="1" x14ac:dyDescent="0.2">
      <c r="C148" s="100"/>
      <c r="D148" s="100"/>
      <c r="E148" s="97"/>
    </row>
    <row r="149" spans="3:7" ht="13.15" customHeight="1" x14ac:dyDescent="0.2">
      <c r="C149" s="113" t="s">
        <v>328</v>
      </c>
      <c r="D149" s="113"/>
      <c r="E149" s="117">
        <v>0.25</v>
      </c>
    </row>
    <row r="150" spans="3:7" ht="12" customHeight="1" x14ac:dyDescent="0.2">
      <c r="C150" s="118"/>
      <c r="D150" s="118"/>
      <c r="E150" s="119"/>
    </row>
    <row r="151" spans="3:7" ht="13.15" customHeight="1" x14ac:dyDescent="0.2">
      <c r="C151" s="110" t="s">
        <v>180</v>
      </c>
      <c r="D151" s="110"/>
      <c r="E151" s="152">
        <f>+E147*(1+E149)</f>
        <v>0.68862500000000004</v>
      </c>
    </row>
    <row r="152" spans="3:7" ht="13.15" customHeight="1" x14ac:dyDescent="0.2"/>
    <row r="153" spans="3:7" ht="13.15" customHeight="1" x14ac:dyDescent="0.2"/>
    <row r="154" spans="3:7" x14ac:dyDescent="0.2">
      <c r="C154" s="147" t="s">
        <v>239</v>
      </c>
      <c r="D154" s="147"/>
      <c r="E154" s="148"/>
    </row>
    <row r="155" spans="3:7" x14ac:dyDescent="0.2">
      <c r="C155" s="154"/>
      <c r="D155" s="154"/>
      <c r="E155" s="155"/>
    </row>
    <row r="156" spans="3:7" x14ac:dyDescent="0.2">
      <c r="C156" s="100" t="s">
        <v>260</v>
      </c>
      <c r="D156" s="100"/>
      <c r="E156" s="156">
        <f>+E68</f>
        <v>6.7520748749999998E-2</v>
      </c>
      <c r="F156" s="100"/>
      <c r="G156" s="100"/>
    </row>
    <row r="157" spans="3:7" x14ac:dyDescent="0.2">
      <c r="C157" s="100"/>
      <c r="D157" s="100"/>
      <c r="E157" s="182">
        <f>+E156*1000</f>
        <v>67.520748749999996</v>
      </c>
      <c r="F157" s="100"/>
      <c r="G157" s="100"/>
    </row>
    <row r="158" spans="3:7" x14ac:dyDescent="0.2">
      <c r="C158" s="100"/>
      <c r="D158" s="100"/>
      <c r="E158" s="182"/>
      <c r="F158" s="100"/>
      <c r="G158" s="100"/>
    </row>
    <row r="159" spans="3:7" x14ac:dyDescent="0.2">
      <c r="C159" s="100" t="s">
        <v>299</v>
      </c>
      <c r="D159" s="100"/>
      <c r="E159" s="156">
        <f>+E134</f>
        <v>0.24081</v>
      </c>
    </row>
    <row r="160" spans="3:7" x14ac:dyDescent="0.2">
      <c r="E160" s="182">
        <f>+E159*1000</f>
        <v>240.81</v>
      </c>
    </row>
    <row r="161" spans="3:5" x14ac:dyDescent="0.2">
      <c r="E161" s="182"/>
    </row>
    <row r="162" spans="3:5" x14ac:dyDescent="0.2">
      <c r="C162" s="100" t="s">
        <v>315</v>
      </c>
      <c r="D162" s="100"/>
      <c r="E162" s="156">
        <f>+E151</f>
        <v>0.68862500000000004</v>
      </c>
    </row>
    <row r="163" spans="3:5" x14ac:dyDescent="0.2">
      <c r="E163" s="182">
        <f>+E162*1000</f>
        <v>688.625</v>
      </c>
    </row>
    <row r="164" spans="3:5" x14ac:dyDescent="0.2">
      <c r="E164" s="182"/>
    </row>
    <row r="165" spans="3:5" x14ac:dyDescent="0.2">
      <c r="C165" s="100" t="s">
        <v>319</v>
      </c>
      <c r="D165" s="100"/>
      <c r="E165" s="214">
        <f>+SUM(E156,E159,E162)</f>
        <v>0.99695574875000004</v>
      </c>
    </row>
    <row r="166" spans="3:5" x14ac:dyDescent="0.2">
      <c r="E166" s="98">
        <f>+E165*1000</f>
        <v>996.95574875</v>
      </c>
    </row>
    <row r="168" spans="3:5" ht="13.15" customHeight="1" x14ac:dyDescent="0.2"/>
    <row r="169" spans="3:5" ht="13.15" customHeight="1" x14ac:dyDescent="0.2"/>
    <row r="170" spans="3:5" ht="13.15" customHeight="1" x14ac:dyDescent="0.2">
      <c r="C170" s="115"/>
      <c r="D170" s="115"/>
    </row>
    <row r="171" spans="3:5" ht="13.15" customHeight="1" x14ac:dyDescent="0.2"/>
    <row r="172" spans="3:5" ht="13.15" customHeight="1" x14ac:dyDescent="0.2">
      <c r="C172" s="115"/>
      <c r="D172" s="115"/>
    </row>
    <row r="173" spans="3:5" ht="13.15" customHeight="1" x14ac:dyDescent="0.2"/>
    <row r="174" spans="3:5" ht="13.15" customHeight="1" x14ac:dyDescent="0.2"/>
    <row r="175" spans="3:5" ht="13.15" customHeight="1" x14ac:dyDescent="0.2"/>
    <row r="176" spans="3:5" ht="13.15" customHeight="1" x14ac:dyDescent="0.2"/>
    <row r="177" spans="7:8" ht="13.15" customHeight="1" x14ac:dyDescent="0.2"/>
    <row r="178" spans="7:8" ht="13.15" customHeight="1" x14ac:dyDescent="0.2"/>
    <row r="179" spans="7:8" ht="13.15" customHeight="1" x14ac:dyDescent="0.2"/>
    <row r="180" spans="7:8" ht="13.15" customHeight="1" x14ac:dyDescent="0.2">
      <c r="G180" s="185"/>
      <c r="H180" s="120"/>
    </row>
    <row r="181" spans="7:8" ht="13.15" customHeight="1" x14ac:dyDescent="0.2">
      <c r="G181" s="185"/>
      <c r="H181" s="120"/>
    </row>
    <row r="182" spans="7:8" ht="13.15" customHeight="1" x14ac:dyDescent="0.2"/>
    <row r="183" spans="7:8" ht="13.15" customHeight="1" x14ac:dyDescent="0.2"/>
    <row r="184" spans="7:8" ht="13.15" customHeight="1" x14ac:dyDescent="0.2"/>
    <row r="185" spans="7:8" ht="13.15" customHeight="1" x14ac:dyDescent="0.2"/>
    <row r="186" spans="7:8" ht="13.15" customHeight="1" x14ac:dyDescent="0.2"/>
    <row r="187" spans="7:8" ht="13.15" customHeight="1" x14ac:dyDescent="0.2"/>
    <row r="221" spans="3:4" ht="13.15" customHeight="1" x14ac:dyDescent="0.2"/>
    <row r="224" spans="3:4" x14ac:dyDescent="0.2">
      <c r="C224" s="97"/>
      <c r="D224" s="97"/>
    </row>
  </sheetData>
  <autoFilter ref="C139:E147" xr:uid="{0A38252A-901E-4041-B58A-4531A199ADAE}"/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8215AF-2C6E-4FE0-AE88-B975405D897A}">
          <x14:formula1>
            <xm:f>'BD tasas y precios'!$B$4:$B$7</xm:f>
          </x14:formula1>
          <xm:sqref>E24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7C4F-90C5-46EE-ACEE-FE04B54528B9}">
  <sheetPr codeName="Hoja3">
    <tabColor theme="9" tint="0.79998168889431442"/>
  </sheetPr>
  <dimension ref="C2:I224"/>
  <sheetViews>
    <sheetView showGridLines="0" zoomScaleNormal="100" workbookViewId="0">
      <selection activeCell="H15" sqref="H15"/>
    </sheetView>
  </sheetViews>
  <sheetFormatPr baseColWidth="10" defaultColWidth="8.85546875" defaultRowHeight="12" outlineLevelRow="1" x14ac:dyDescent="0.2"/>
  <cols>
    <col min="1" max="2" width="5.42578125" style="95" customWidth="1"/>
    <col min="3" max="3" width="14.42578125" style="95" customWidth="1"/>
    <col min="4" max="4" width="27.28515625" style="95" customWidth="1"/>
    <col min="5" max="5" width="26.42578125" style="95" customWidth="1"/>
    <col min="6" max="6" width="5.7109375" style="95" customWidth="1"/>
    <col min="7" max="7" width="8.85546875" style="184"/>
    <col min="8" max="16384" width="8.85546875" style="95"/>
  </cols>
  <sheetData>
    <row r="2" spans="3:9" x14ac:dyDescent="0.2">
      <c r="C2" s="95" t="s">
        <v>353</v>
      </c>
      <c r="E2" s="198" t="s">
        <v>352</v>
      </c>
    </row>
    <row r="3" spans="3:9" x14ac:dyDescent="0.2">
      <c r="C3" s="143" t="s">
        <v>300</v>
      </c>
      <c r="D3" s="143"/>
      <c r="E3" s="144"/>
    </row>
    <row r="4" spans="3:9" x14ac:dyDescent="0.2">
      <c r="C4" s="100" t="s">
        <v>181</v>
      </c>
      <c r="D4" s="100"/>
      <c r="E4" s="97"/>
    </row>
    <row r="5" spans="3:9" x14ac:dyDescent="0.2">
      <c r="C5" s="100" t="s">
        <v>182</v>
      </c>
      <c r="D5" s="100"/>
      <c r="E5" s="108"/>
    </row>
    <row r="6" spans="3:9" ht="12.6" customHeight="1" x14ac:dyDescent="0.2">
      <c r="C6" s="100" t="s">
        <v>313</v>
      </c>
      <c r="D6" s="100"/>
      <c r="E6" s="97"/>
    </row>
    <row r="7" spans="3:9" x14ac:dyDescent="0.2">
      <c r="C7" s="100" t="s">
        <v>314</v>
      </c>
      <c r="D7" s="100"/>
      <c r="E7" s="97"/>
    </row>
    <row r="8" spans="3:9" x14ac:dyDescent="0.2">
      <c r="C8" s="100" t="s">
        <v>178</v>
      </c>
      <c r="D8" s="100"/>
      <c r="E8" s="97"/>
    </row>
    <row r="9" spans="3:9" x14ac:dyDescent="0.2">
      <c r="C9" s="95" t="s">
        <v>177</v>
      </c>
      <c r="E9" s="145"/>
    </row>
    <row r="10" spans="3:9" x14ac:dyDescent="0.2">
      <c r="C10" s="95" t="s">
        <v>233</v>
      </c>
      <c r="E10" s="146"/>
    </row>
    <row r="11" spans="3:9" x14ac:dyDescent="0.2">
      <c r="C11" s="95" t="s">
        <v>175</v>
      </c>
      <c r="E11" s="146"/>
      <c r="G11" s="194" t="s">
        <v>320</v>
      </c>
      <c r="H11" s="194"/>
      <c r="I11" s="194"/>
    </row>
    <row r="12" spans="3:9" ht="2.4500000000000002" customHeight="1" x14ac:dyDescent="0.2"/>
    <row r="14" spans="3:9" ht="13.9" customHeight="1" x14ac:dyDescent="0.2">
      <c r="C14" s="208" t="s">
        <v>303</v>
      </c>
      <c r="D14" s="208"/>
      <c r="E14" s="209"/>
    </row>
    <row r="15" spans="3:9" ht="4.1500000000000004" customHeight="1" x14ac:dyDescent="0.2">
      <c r="C15" s="100"/>
      <c r="D15" s="100"/>
    </row>
    <row r="16" spans="3:9" ht="4.1500000000000004" customHeight="1" x14ac:dyDescent="0.2">
      <c r="C16" s="100"/>
      <c r="D16" s="100"/>
    </row>
    <row r="17" spans="3:9" x14ac:dyDescent="0.2">
      <c r="C17" s="193" t="s">
        <v>341</v>
      </c>
      <c r="D17" s="193"/>
      <c r="E17" s="194"/>
    </row>
    <row r="19" spans="3:9" x14ac:dyDescent="0.2">
      <c r="C19" s="95" t="s">
        <v>342</v>
      </c>
      <c r="E19" s="150"/>
      <c r="G19" s="184" t="s">
        <v>375</v>
      </c>
    </row>
    <row r="22" spans="3:9" x14ac:dyDescent="0.2">
      <c r="C22" s="193" t="s">
        <v>343</v>
      </c>
      <c r="D22" s="193"/>
      <c r="E22" s="194"/>
    </row>
    <row r="24" spans="3:9" ht="15.6" customHeight="1" x14ac:dyDescent="0.2">
      <c r="C24" s="141" t="s">
        <v>316</v>
      </c>
      <c r="D24" s="141"/>
      <c r="E24" s="141" t="s">
        <v>278</v>
      </c>
    </row>
    <row r="25" spans="3:9" x14ac:dyDescent="0.2">
      <c r="C25" s="96" t="s">
        <v>225</v>
      </c>
      <c r="D25" s="96"/>
      <c r="E25" s="206">
        <f>+VLOOKUP(E24,'BD tasas y precios'!B3:E7,2,0)</f>
        <v>223</v>
      </c>
    </row>
    <row r="26" spans="3:9" x14ac:dyDescent="0.2">
      <c r="C26" s="96"/>
      <c r="D26" s="96"/>
      <c r="E26" s="149"/>
    </row>
    <row r="27" spans="3:9" x14ac:dyDescent="0.2">
      <c r="C27" s="95" t="s">
        <v>200</v>
      </c>
      <c r="E27" s="104"/>
      <c r="I27" s="96"/>
    </row>
    <row r="28" spans="3:9" x14ac:dyDescent="0.2">
      <c r="G28" s="95"/>
    </row>
    <row r="29" spans="3:9" x14ac:dyDescent="0.2">
      <c r="C29" s="100" t="s">
        <v>344</v>
      </c>
      <c r="D29" s="100"/>
      <c r="E29" s="150" t="str">
        <f>+IFERROR((E27/60)*(E25/E10),"")</f>
        <v/>
      </c>
    </row>
    <row r="32" spans="3:9" x14ac:dyDescent="0.2">
      <c r="C32" s="193" t="s">
        <v>345</v>
      </c>
      <c r="D32" s="193"/>
      <c r="E32" s="194"/>
    </row>
    <row r="34" spans="3:5" x14ac:dyDescent="0.2">
      <c r="C34" s="95" t="s">
        <v>357</v>
      </c>
      <c r="E34" s="111">
        <v>0</v>
      </c>
    </row>
    <row r="35" spans="3:5" x14ac:dyDescent="0.2">
      <c r="C35" s="95" t="s">
        <v>358</v>
      </c>
      <c r="E35" s="111">
        <v>0</v>
      </c>
    </row>
    <row r="36" spans="3:5" x14ac:dyDescent="0.2">
      <c r="C36" s="95" t="s">
        <v>284</v>
      </c>
      <c r="E36" s="111">
        <v>0</v>
      </c>
    </row>
    <row r="37" spans="3:5" x14ac:dyDescent="0.2">
      <c r="C37" s="95" t="s">
        <v>205</v>
      </c>
      <c r="E37" s="111">
        <v>0</v>
      </c>
    </row>
    <row r="38" spans="3:5" x14ac:dyDescent="0.2">
      <c r="C38" s="95" t="s">
        <v>206</v>
      </c>
      <c r="E38" s="111">
        <v>0</v>
      </c>
    </row>
    <row r="39" spans="3:5" x14ac:dyDescent="0.2">
      <c r="C39" s="95" t="s">
        <v>207</v>
      </c>
      <c r="E39" s="111">
        <v>0</v>
      </c>
    </row>
    <row r="41" spans="3:5" x14ac:dyDescent="0.2">
      <c r="C41" s="95" t="s">
        <v>201</v>
      </c>
      <c r="E41" s="102" t="str">
        <f>+IFERROR(E34*'BD tasas y precios'!C30/E10,"")</f>
        <v/>
      </c>
    </row>
    <row r="42" spans="3:5" x14ac:dyDescent="0.2">
      <c r="C42" s="95" t="s">
        <v>204</v>
      </c>
      <c r="E42" s="102" t="str">
        <f>+IFERROR(E35*'BD tasas y precios'!C29/E10,"")</f>
        <v/>
      </c>
    </row>
    <row r="43" spans="3:5" x14ac:dyDescent="0.2">
      <c r="C43" s="95" t="s">
        <v>202</v>
      </c>
      <c r="E43" s="102" t="str">
        <f>+IFERROR('BD tasas y precios'!C28*E36/E10,"")</f>
        <v/>
      </c>
    </row>
    <row r="44" spans="3:5" x14ac:dyDescent="0.2">
      <c r="C44" s="95" t="s">
        <v>203</v>
      </c>
      <c r="E44" s="102" t="str">
        <f>+IFERROR('BD tasas y precios'!C27*E37/E10,"")</f>
        <v/>
      </c>
    </row>
    <row r="45" spans="3:5" x14ac:dyDescent="0.2">
      <c r="C45" s="95" t="s">
        <v>209</v>
      </c>
      <c r="E45" s="98" t="str">
        <f>+IFERROR('BD tasas y precios'!C26*E38/E10,"")</f>
        <v/>
      </c>
    </row>
    <row r="46" spans="3:5" x14ac:dyDescent="0.2">
      <c r="C46" s="95" t="s">
        <v>208</v>
      </c>
      <c r="E46" s="102" t="str">
        <f>+IFERROR('BD tasas y precios'!C25*E39/E10,"")</f>
        <v/>
      </c>
    </row>
    <row r="47" spans="3:5" x14ac:dyDescent="0.2">
      <c r="E47" s="116"/>
    </row>
    <row r="48" spans="3:5" x14ac:dyDescent="0.2">
      <c r="C48" s="100" t="s">
        <v>224</v>
      </c>
      <c r="D48" s="100"/>
      <c r="E48" s="150">
        <f>+SUM(E41,E42,E43,E44,E45,E46)</f>
        <v>0</v>
      </c>
    </row>
    <row r="51" spans="3:7" x14ac:dyDescent="0.2">
      <c r="C51" s="193" t="s">
        <v>346</v>
      </c>
      <c r="D51" s="193"/>
      <c r="E51" s="194"/>
    </row>
    <row r="53" spans="3:7" x14ac:dyDescent="0.2">
      <c r="C53" s="95" t="s">
        <v>359</v>
      </c>
      <c r="E53" s="102">
        <f>+E19</f>
        <v>0</v>
      </c>
    </row>
    <row r="54" spans="3:7" x14ac:dyDescent="0.2">
      <c r="C54" s="95" t="s">
        <v>360</v>
      </c>
      <c r="E54" s="102" t="str">
        <f>+E29</f>
        <v/>
      </c>
    </row>
    <row r="55" spans="3:7" x14ac:dyDescent="0.2">
      <c r="C55" s="95" t="s">
        <v>361</v>
      </c>
      <c r="E55" s="102">
        <f>+E48</f>
        <v>0</v>
      </c>
    </row>
    <row r="56" spans="3:7" x14ac:dyDescent="0.2">
      <c r="C56" s="100" t="s">
        <v>347</v>
      </c>
      <c r="D56" s="100"/>
      <c r="E56" s="197">
        <f>+SUM(E53,E54,E55)</f>
        <v>0</v>
      </c>
    </row>
    <row r="57" spans="3:7" ht="9" customHeight="1" x14ac:dyDescent="0.2">
      <c r="C57" s="100"/>
      <c r="D57" s="100"/>
      <c r="E57" s="197"/>
    </row>
    <row r="58" spans="3:7" x14ac:dyDescent="0.2">
      <c r="C58" s="95" t="s">
        <v>348</v>
      </c>
      <c r="E58" s="112">
        <v>0</v>
      </c>
      <c r="G58" s="105" t="s">
        <v>376</v>
      </c>
    </row>
    <row r="59" spans="3:7" ht="6" customHeight="1" x14ac:dyDescent="0.2"/>
    <row r="60" spans="3:7" x14ac:dyDescent="0.2">
      <c r="C60" s="100" t="s">
        <v>210</v>
      </c>
      <c r="D60" s="100"/>
      <c r="E60" s="106">
        <f>+E56*E58</f>
        <v>0</v>
      </c>
    </row>
    <row r="61" spans="3:7" ht="4.9000000000000004" customHeight="1" x14ac:dyDescent="0.2">
      <c r="C61" s="100"/>
      <c r="D61" s="100"/>
      <c r="E61" s="106"/>
    </row>
    <row r="62" spans="3:7" x14ac:dyDescent="0.2">
      <c r="C62" s="95" t="s">
        <v>349</v>
      </c>
      <c r="E62" s="112">
        <v>0</v>
      </c>
      <c r="G62" s="105" t="s">
        <v>376</v>
      </c>
    </row>
    <row r="63" spans="3:7" ht="4.9000000000000004" customHeight="1" x14ac:dyDescent="0.2"/>
    <row r="64" spans="3:7" x14ac:dyDescent="0.2">
      <c r="C64" s="100" t="s">
        <v>211</v>
      </c>
      <c r="D64" s="100"/>
      <c r="E64" s="106">
        <f>+(E56+E60)*E62</f>
        <v>0</v>
      </c>
    </row>
    <row r="66" spans="3:7" x14ac:dyDescent="0.2">
      <c r="C66" s="110" t="s">
        <v>259</v>
      </c>
      <c r="D66" s="110"/>
      <c r="E66" s="150">
        <f>+E56+E60+E64</f>
        <v>0</v>
      </c>
    </row>
    <row r="67" spans="3:7" ht="12.75" thickBot="1" x14ac:dyDescent="0.25"/>
    <row r="68" spans="3:7" ht="12.75" thickBot="1" x14ac:dyDescent="0.25">
      <c r="C68" s="110" t="s">
        <v>234</v>
      </c>
      <c r="D68" s="110"/>
      <c r="E68" s="173">
        <f>+E66/1000*E9</f>
        <v>0</v>
      </c>
    </row>
    <row r="69" spans="3:7" x14ac:dyDescent="0.2">
      <c r="E69" s="210">
        <f>+E68*1000</f>
        <v>0</v>
      </c>
    </row>
    <row r="72" spans="3:7" ht="13.15" customHeight="1" x14ac:dyDescent="0.2">
      <c r="C72" s="193" t="s">
        <v>258</v>
      </c>
      <c r="D72" s="193"/>
      <c r="E72" s="194"/>
      <c r="G72" s="95"/>
    </row>
    <row r="73" spans="3:7" ht="13.15" customHeight="1" x14ac:dyDescent="0.2"/>
    <row r="74" spans="3:7" ht="13.15" customHeight="1" x14ac:dyDescent="0.2">
      <c r="C74" s="95" t="s">
        <v>282</v>
      </c>
      <c r="E74" s="205">
        <f>+'BD tasas y precios'!$C$12*1.02</f>
        <v>32.844000000000001</v>
      </c>
    </row>
    <row r="75" spans="3:7" ht="13.15" customHeight="1" x14ac:dyDescent="0.2"/>
    <row r="76" spans="3:7" ht="13.15" customHeight="1" x14ac:dyDescent="0.2">
      <c r="C76" s="151" t="s">
        <v>247</v>
      </c>
      <c r="D76" s="151"/>
      <c r="E76" s="160" t="s">
        <v>308</v>
      </c>
      <c r="G76" s="95"/>
    </row>
    <row r="77" spans="3:7" ht="13.15" customHeight="1" outlineLevel="1" x14ac:dyDescent="0.2">
      <c r="C77" s="95" t="s">
        <v>283</v>
      </c>
      <c r="E77" s="97" t="s">
        <v>309</v>
      </c>
    </row>
    <row r="78" spans="3:7" ht="13.15" customHeight="1" outlineLevel="1" x14ac:dyDescent="0.2">
      <c r="C78" s="95" t="s">
        <v>288</v>
      </c>
      <c r="E78" s="97" t="s">
        <v>309</v>
      </c>
      <c r="G78" s="95"/>
    </row>
    <row r="79" spans="3:7" ht="13.15" customHeight="1" outlineLevel="1" x14ac:dyDescent="0.2">
      <c r="C79" s="95" t="s">
        <v>289</v>
      </c>
      <c r="E79" s="97" t="s">
        <v>312</v>
      </c>
    </row>
    <row r="80" spans="3:7" ht="13.15" customHeight="1" outlineLevel="1" x14ac:dyDescent="0.2">
      <c r="C80" s="95" t="s">
        <v>248</v>
      </c>
      <c r="E80" s="178">
        <v>0</v>
      </c>
    </row>
    <row r="81" spans="3:5" outlineLevel="1" x14ac:dyDescent="0.2">
      <c r="C81" s="95" t="s">
        <v>283</v>
      </c>
      <c r="E81" s="174" t="s">
        <v>312</v>
      </c>
    </row>
    <row r="82" spans="3:5" outlineLevel="1" x14ac:dyDescent="0.2">
      <c r="C82" s="95" t="s">
        <v>317</v>
      </c>
      <c r="E82" s="195">
        <v>0</v>
      </c>
    </row>
    <row r="83" spans="3:5" outlineLevel="1" x14ac:dyDescent="0.2">
      <c r="C83" s="110" t="s">
        <v>285</v>
      </c>
      <c r="D83" s="110"/>
      <c r="E83" s="196">
        <f>+IF(E80&gt;0,E82*1.85,E82)</f>
        <v>0</v>
      </c>
    </row>
    <row r="84" spans="3:5" ht="13.15" customHeight="1" x14ac:dyDescent="0.2"/>
    <row r="85" spans="3:5" ht="13.15" customHeight="1" x14ac:dyDescent="0.2">
      <c r="C85" s="151" t="s">
        <v>247</v>
      </c>
      <c r="D85" s="151"/>
      <c r="E85" s="160" t="s">
        <v>325</v>
      </c>
    </row>
    <row r="86" spans="3:5" s="187" customFormat="1" ht="13.15" customHeight="1" outlineLevel="1" x14ac:dyDescent="0.2">
      <c r="C86" s="187" t="s">
        <v>283</v>
      </c>
      <c r="E86" s="188"/>
    </row>
    <row r="87" spans="3:5" s="187" customFormat="1" ht="13.15" customHeight="1" outlineLevel="1" x14ac:dyDescent="0.2">
      <c r="C87" s="187" t="s">
        <v>288</v>
      </c>
      <c r="E87" s="188"/>
    </row>
    <row r="88" spans="3:5" s="187" customFormat="1" ht="8.4499999999999993" customHeight="1" outlineLevel="1" x14ac:dyDescent="0.2"/>
    <row r="89" spans="3:5" s="187" customFormat="1" ht="13.15" customHeight="1" outlineLevel="1" x14ac:dyDescent="0.2">
      <c r="C89" s="187" t="s">
        <v>289</v>
      </c>
      <c r="E89" s="207">
        <f>+E11</f>
        <v>0</v>
      </c>
    </row>
    <row r="90" spans="3:5" s="187" customFormat="1" ht="7.15" customHeight="1" outlineLevel="1" x14ac:dyDescent="0.2"/>
    <row r="91" spans="3:5" s="187" customFormat="1" ht="13.15" customHeight="1" outlineLevel="1" x14ac:dyDescent="0.2">
      <c r="C91" s="187" t="s">
        <v>248</v>
      </c>
      <c r="E91" s="189"/>
    </row>
    <row r="92" spans="3:5" s="187" customFormat="1" ht="7.15" customHeight="1" outlineLevel="1" x14ac:dyDescent="0.2"/>
    <row r="93" spans="3:5" s="187" customFormat="1" ht="13.15" customHeight="1" outlineLevel="1" x14ac:dyDescent="0.2">
      <c r="C93" s="187" t="s">
        <v>283</v>
      </c>
      <c r="E93" s="204" t="str">
        <f>+IFERROR(IF(E86&gt;0,E86*E91,E89/E87*E91),"")</f>
        <v/>
      </c>
    </row>
    <row r="94" spans="3:5" s="187" customFormat="1" ht="6.6" customHeight="1" outlineLevel="1" x14ac:dyDescent="0.2"/>
    <row r="95" spans="3:5" s="187" customFormat="1" ht="13.15" customHeight="1" outlineLevel="1" x14ac:dyDescent="0.2">
      <c r="C95" s="191" t="s">
        <v>285</v>
      </c>
      <c r="D95" s="191"/>
      <c r="E95" s="213" t="str">
        <f>+IFERROR(($E$74*E93)/E11,"")</f>
        <v/>
      </c>
    </row>
    <row r="96" spans="3:5" ht="13.15" customHeight="1" x14ac:dyDescent="0.2">
      <c r="E96" s="153"/>
    </row>
    <row r="97" spans="3:7" ht="13.15" customHeight="1" x14ac:dyDescent="0.2">
      <c r="C97" s="151" t="s">
        <v>247</v>
      </c>
      <c r="D97" s="151"/>
      <c r="E97" s="160" t="s">
        <v>17</v>
      </c>
    </row>
    <row r="98" spans="3:7" ht="13.15" customHeight="1" outlineLevel="1" x14ac:dyDescent="0.2">
      <c r="C98" s="95" t="s">
        <v>283</v>
      </c>
      <c r="E98" s="158"/>
      <c r="G98" s="95"/>
    </row>
    <row r="99" spans="3:7" ht="13.15" customHeight="1" outlineLevel="1" x14ac:dyDescent="0.2">
      <c r="C99" s="95" t="s">
        <v>288</v>
      </c>
      <c r="E99" s="158"/>
      <c r="G99" s="95"/>
    </row>
    <row r="100" spans="3:7" s="187" customFormat="1" ht="8.4499999999999993" customHeight="1" outlineLevel="1" x14ac:dyDescent="0.2"/>
    <row r="101" spans="3:7" ht="13.15" customHeight="1" outlineLevel="1" x14ac:dyDescent="0.2">
      <c r="C101" s="95" t="s">
        <v>289</v>
      </c>
      <c r="E101" s="207">
        <f>+E11</f>
        <v>0</v>
      </c>
      <c r="G101" s="95"/>
    </row>
    <row r="102" spans="3:7" ht="7.9" customHeight="1" outlineLevel="1" x14ac:dyDescent="0.2">
      <c r="G102" s="95"/>
    </row>
    <row r="103" spans="3:7" ht="13.15" customHeight="1" outlineLevel="1" x14ac:dyDescent="0.2">
      <c r="C103" s="95" t="s">
        <v>248</v>
      </c>
      <c r="E103" s="111"/>
      <c r="G103" s="95"/>
    </row>
    <row r="104" spans="3:7" ht="4.1500000000000004" customHeight="1" outlineLevel="1" x14ac:dyDescent="0.2">
      <c r="G104" s="95"/>
    </row>
    <row r="105" spans="3:7" ht="13.15" customHeight="1" outlineLevel="1" x14ac:dyDescent="0.2">
      <c r="C105" s="95" t="s">
        <v>283</v>
      </c>
      <c r="E105" s="204" t="str">
        <f>+IFERROR(IF(E98&gt;0,E98*E103,E101/E99*E103),"")</f>
        <v/>
      </c>
      <c r="G105" s="95"/>
    </row>
    <row r="106" spans="3:7" ht="13.15" customHeight="1" outlineLevel="1" x14ac:dyDescent="0.2">
      <c r="G106" s="95"/>
    </row>
    <row r="107" spans="3:7" ht="13.15" customHeight="1" outlineLevel="1" x14ac:dyDescent="0.2">
      <c r="C107" s="110" t="s">
        <v>285</v>
      </c>
      <c r="D107" s="110"/>
      <c r="E107" s="212" t="str">
        <f>+IFERROR(($E$74*E105)/E11,"")</f>
        <v/>
      </c>
      <c r="G107" s="95"/>
    </row>
    <row r="108" spans="3:7" ht="13.15" customHeight="1" x14ac:dyDescent="0.2">
      <c r="E108" s="153"/>
    </row>
    <row r="109" spans="3:7" ht="13.15" customHeight="1" x14ac:dyDescent="0.2">
      <c r="C109" s="151" t="s">
        <v>247</v>
      </c>
      <c r="D109" s="151"/>
      <c r="E109" s="160" t="s">
        <v>291</v>
      </c>
    </row>
    <row r="110" spans="3:7" ht="13.15" hidden="1" customHeight="1" outlineLevel="1" x14ac:dyDescent="0.2">
      <c r="C110" s="95" t="s">
        <v>283</v>
      </c>
      <c r="E110" s="158"/>
      <c r="G110" s="95"/>
    </row>
    <row r="111" spans="3:7" ht="13.15" hidden="1" customHeight="1" outlineLevel="1" x14ac:dyDescent="0.2">
      <c r="C111" s="95" t="s">
        <v>288</v>
      </c>
      <c r="E111" s="158"/>
      <c r="G111" s="95"/>
    </row>
    <row r="112" spans="3:7" s="187" customFormat="1" ht="8.4499999999999993" hidden="1" customHeight="1" outlineLevel="1" x14ac:dyDescent="0.2"/>
    <row r="113" spans="3:7" ht="13.15" hidden="1" customHeight="1" outlineLevel="1" x14ac:dyDescent="0.2">
      <c r="C113" s="95" t="s">
        <v>289</v>
      </c>
      <c r="E113" s="207">
        <f>+E11</f>
        <v>0</v>
      </c>
      <c r="G113" s="95"/>
    </row>
    <row r="114" spans="3:7" s="187" customFormat="1" ht="8.4499999999999993" hidden="1" customHeight="1" outlineLevel="1" x14ac:dyDescent="0.2"/>
    <row r="115" spans="3:7" ht="13.15" hidden="1" customHeight="1" outlineLevel="1" x14ac:dyDescent="0.2">
      <c r="C115" s="95" t="s">
        <v>248</v>
      </c>
      <c r="E115" s="111"/>
      <c r="G115" s="95"/>
    </row>
    <row r="116" spans="3:7" s="187" customFormat="1" ht="8.4499999999999993" hidden="1" customHeight="1" outlineLevel="1" x14ac:dyDescent="0.2"/>
    <row r="117" spans="3:7" ht="13.15" hidden="1" customHeight="1" outlineLevel="1" x14ac:dyDescent="0.2">
      <c r="C117" s="95" t="s">
        <v>283</v>
      </c>
      <c r="E117" s="174" t="str">
        <f>+IFERROR(IF(E110&gt;0,E110*E115,E113/E111*E115),"")</f>
        <v/>
      </c>
      <c r="G117" s="95"/>
    </row>
    <row r="118" spans="3:7" s="187" customFormat="1" ht="8.4499999999999993" hidden="1" customHeight="1" outlineLevel="1" x14ac:dyDescent="0.2"/>
    <row r="119" spans="3:7" ht="13.15" hidden="1" customHeight="1" outlineLevel="1" x14ac:dyDescent="0.2">
      <c r="C119" s="110" t="s">
        <v>285</v>
      </c>
      <c r="D119" s="110"/>
      <c r="E119" s="159" t="str">
        <f>+IFERROR(($E$74*E117)/E11,"")</f>
        <v/>
      </c>
      <c r="G119" s="95"/>
    </row>
    <row r="120" spans="3:7" ht="13.15" customHeight="1" collapsed="1" x14ac:dyDescent="0.2">
      <c r="E120" s="153"/>
    </row>
    <row r="121" spans="3:7" ht="13.15" customHeight="1" x14ac:dyDescent="0.2">
      <c r="C121" s="151" t="s">
        <v>247</v>
      </c>
      <c r="D121" s="151"/>
      <c r="E121" s="160" t="s">
        <v>290</v>
      </c>
    </row>
    <row r="122" spans="3:7" ht="13.15" hidden="1" customHeight="1" outlineLevel="1" x14ac:dyDescent="0.2">
      <c r="C122" s="95" t="s">
        <v>283</v>
      </c>
      <c r="E122" s="158"/>
      <c r="G122" s="95"/>
    </row>
    <row r="123" spans="3:7" ht="13.15" hidden="1" customHeight="1" outlineLevel="1" x14ac:dyDescent="0.2">
      <c r="C123" s="95" t="s">
        <v>288</v>
      </c>
      <c r="E123" s="158"/>
      <c r="G123" s="95"/>
    </row>
    <row r="124" spans="3:7" s="187" customFormat="1" ht="8.4499999999999993" hidden="1" customHeight="1" outlineLevel="1" x14ac:dyDescent="0.2"/>
    <row r="125" spans="3:7" ht="13.15" hidden="1" customHeight="1" outlineLevel="1" x14ac:dyDescent="0.2">
      <c r="C125" s="95" t="s">
        <v>289</v>
      </c>
      <c r="E125" s="207">
        <f>+E11</f>
        <v>0</v>
      </c>
      <c r="G125" s="95"/>
    </row>
    <row r="126" spans="3:7" ht="7.15" hidden="1" customHeight="1" outlineLevel="1" x14ac:dyDescent="0.2">
      <c r="G126" s="95"/>
    </row>
    <row r="127" spans="3:7" ht="13.15" hidden="1" customHeight="1" outlineLevel="1" x14ac:dyDescent="0.2">
      <c r="C127" s="95" t="s">
        <v>248</v>
      </c>
      <c r="E127" s="111"/>
      <c r="G127" s="95"/>
    </row>
    <row r="128" spans="3:7" ht="7.15" hidden="1" customHeight="1" outlineLevel="1" x14ac:dyDescent="0.2">
      <c r="G128" s="95"/>
    </row>
    <row r="129" spans="3:7" ht="13.15" hidden="1" customHeight="1" outlineLevel="1" x14ac:dyDescent="0.2">
      <c r="C129" s="95" t="s">
        <v>283</v>
      </c>
      <c r="E129" s="174" t="str">
        <f>+IFERROR(IF(E122&gt;0,E122*E127,E125/E123*E127),"")</f>
        <v/>
      </c>
      <c r="G129" s="95"/>
    </row>
    <row r="130" spans="3:7" ht="7.15" hidden="1" customHeight="1" outlineLevel="1" x14ac:dyDescent="0.2">
      <c r="G130" s="95"/>
    </row>
    <row r="131" spans="3:7" ht="13.15" hidden="1" customHeight="1" outlineLevel="1" x14ac:dyDescent="0.2">
      <c r="C131" s="110" t="s">
        <v>285</v>
      </c>
      <c r="D131" s="110"/>
      <c r="E131" s="159" t="str">
        <f>+IFERROR(($E$74*E129)/E11,"")</f>
        <v/>
      </c>
      <c r="G131" s="95"/>
    </row>
    <row r="132" spans="3:7" ht="13.15" customHeight="1" collapsed="1" x14ac:dyDescent="0.2">
      <c r="E132" s="153"/>
    </row>
    <row r="133" spans="3:7" ht="13.15" customHeight="1" thickBot="1" x14ac:dyDescent="0.25"/>
    <row r="134" spans="3:7" ht="13.15" customHeight="1" thickBot="1" x14ac:dyDescent="0.25">
      <c r="C134" s="110" t="s">
        <v>326</v>
      </c>
      <c r="D134" s="110"/>
      <c r="E134" s="183">
        <f>+SUM(E83,E95,E107,E119,E131)</f>
        <v>0</v>
      </c>
    </row>
    <row r="135" spans="3:7" x14ac:dyDescent="0.2">
      <c r="E135" s="210">
        <f>+E134*1000</f>
        <v>0</v>
      </c>
    </row>
    <row r="136" spans="3:7" ht="13.15" customHeight="1" x14ac:dyDescent="0.2"/>
    <row r="137" spans="3:7" ht="13.15" customHeight="1" x14ac:dyDescent="0.2">
      <c r="C137" s="147" t="s">
        <v>226</v>
      </c>
      <c r="D137" s="147"/>
      <c r="E137" s="148"/>
    </row>
    <row r="138" spans="3:7" ht="13.15" customHeight="1" x14ac:dyDescent="0.2"/>
    <row r="139" spans="3:7" ht="13.15" customHeight="1" x14ac:dyDescent="0.2">
      <c r="C139" s="151" t="s">
        <v>318</v>
      </c>
      <c r="D139" s="151"/>
      <c r="E139" s="160" t="s">
        <v>327</v>
      </c>
    </row>
    <row r="140" spans="3:7" ht="13.15" customHeight="1" x14ac:dyDescent="0.2">
      <c r="C140" s="100" t="s">
        <v>178</v>
      </c>
      <c r="D140" s="211"/>
      <c r="E140" s="122"/>
      <c r="G140" s="95"/>
    </row>
    <row r="141" spans="3:7" ht="13.15" customHeight="1" x14ac:dyDescent="0.2">
      <c r="C141" s="100" t="s">
        <v>318</v>
      </c>
      <c r="D141" s="211"/>
      <c r="E141" s="122"/>
      <c r="G141" s="95"/>
    </row>
    <row r="142" spans="3:7" ht="13.15" customHeight="1" x14ac:dyDescent="0.2">
      <c r="C142" s="100" t="s">
        <v>296</v>
      </c>
      <c r="D142" s="211"/>
      <c r="E142" s="122"/>
      <c r="G142" s="95"/>
    </row>
    <row r="143" spans="3:7" ht="13.15" customHeight="1" x14ac:dyDescent="0.2">
      <c r="C143" s="100" t="s">
        <v>183</v>
      </c>
      <c r="D143" s="211"/>
      <c r="E143" s="122"/>
      <c r="G143" s="95"/>
    </row>
    <row r="144" spans="3:7" ht="13.15" customHeight="1" x14ac:dyDescent="0.2">
      <c r="C144" s="100" t="s">
        <v>297</v>
      </c>
      <c r="D144" s="211"/>
      <c r="E144" s="121"/>
      <c r="G144" s="95"/>
    </row>
    <row r="145" spans="3:7" ht="13.15" customHeight="1" x14ac:dyDescent="0.2">
      <c r="C145" s="100" t="s">
        <v>298</v>
      </c>
      <c r="D145" s="211"/>
      <c r="E145" s="122"/>
      <c r="G145" s="95"/>
    </row>
    <row r="146" spans="3:7" ht="13.15" customHeight="1" x14ac:dyDescent="0.2">
      <c r="G146" s="95"/>
    </row>
    <row r="147" spans="3:7" ht="13.15" customHeight="1" x14ac:dyDescent="0.2">
      <c r="C147" s="100" t="s">
        <v>179</v>
      </c>
      <c r="D147" s="100"/>
      <c r="E147" s="179">
        <f>+SUM(E140:E145)</f>
        <v>0</v>
      </c>
      <c r="G147" s="108"/>
    </row>
    <row r="148" spans="3:7" ht="13.15" customHeight="1" x14ac:dyDescent="0.2">
      <c r="C148" s="100"/>
      <c r="D148" s="100"/>
      <c r="E148" s="97"/>
    </row>
    <row r="149" spans="3:7" ht="13.15" customHeight="1" x14ac:dyDescent="0.2">
      <c r="C149" s="113" t="s">
        <v>328</v>
      </c>
      <c r="D149" s="113"/>
      <c r="E149" s="117">
        <v>0.25</v>
      </c>
    </row>
    <row r="150" spans="3:7" ht="12" customHeight="1" x14ac:dyDescent="0.2">
      <c r="C150" s="118"/>
      <c r="D150" s="118"/>
      <c r="E150" s="119"/>
    </row>
    <row r="151" spans="3:7" ht="13.15" customHeight="1" x14ac:dyDescent="0.2">
      <c r="C151" s="110" t="s">
        <v>180</v>
      </c>
      <c r="D151" s="110"/>
      <c r="E151" s="152">
        <f>+E147*(1+E149)</f>
        <v>0</v>
      </c>
    </row>
    <row r="152" spans="3:7" ht="13.15" customHeight="1" x14ac:dyDescent="0.2"/>
    <row r="153" spans="3:7" ht="13.15" customHeight="1" x14ac:dyDescent="0.2"/>
    <row r="154" spans="3:7" x14ac:dyDescent="0.2">
      <c r="C154" s="147" t="s">
        <v>239</v>
      </c>
      <c r="D154" s="147"/>
      <c r="E154" s="148"/>
    </row>
    <row r="155" spans="3:7" x14ac:dyDescent="0.2">
      <c r="C155" s="154"/>
      <c r="D155" s="154"/>
      <c r="E155" s="155"/>
    </row>
    <row r="156" spans="3:7" x14ac:dyDescent="0.2">
      <c r="C156" s="100" t="s">
        <v>260</v>
      </c>
      <c r="D156" s="100"/>
      <c r="E156" s="156">
        <f>+E68</f>
        <v>0</v>
      </c>
      <c r="F156" s="100"/>
      <c r="G156" s="100"/>
    </row>
    <row r="157" spans="3:7" x14ac:dyDescent="0.2">
      <c r="C157" s="100"/>
      <c r="D157" s="100"/>
      <c r="E157" s="182">
        <f>+E156*1000</f>
        <v>0</v>
      </c>
      <c r="F157" s="100"/>
      <c r="G157" s="100"/>
    </row>
    <row r="158" spans="3:7" x14ac:dyDescent="0.2">
      <c r="C158" s="100"/>
      <c r="D158" s="100"/>
      <c r="E158" s="182"/>
      <c r="F158" s="100"/>
      <c r="G158" s="100"/>
    </row>
    <row r="159" spans="3:7" x14ac:dyDescent="0.2">
      <c r="C159" s="100" t="s">
        <v>299</v>
      </c>
      <c r="D159" s="100"/>
      <c r="E159" s="156">
        <f>+E134</f>
        <v>0</v>
      </c>
    </row>
    <row r="160" spans="3:7" x14ac:dyDescent="0.2">
      <c r="E160" s="182">
        <f>+E159*1000</f>
        <v>0</v>
      </c>
    </row>
    <row r="161" spans="3:5" x14ac:dyDescent="0.2">
      <c r="E161" s="182"/>
    </row>
    <row r="162" spans="3:5" x14ac:dyDescent="0.2">
      <c r="C162" s="100" t="s">
        <v>315</v>
      </c>
      <c r="D162" s="100"/>
      <c r="E162" s="156">
        <f>+E151</f>
        <v>0</v>
      </c>
    </row>
    <row r="163" spans="3:5" x14ac:dyDescent="0.2">
      <c r="E163" s="182">
        <f>+E162*1000</f>
        <v>0</v>
      </c>
    </row>
    <row r="164" spans="3:5" x14ac:dyDescent="0.2">
      <c r="E164" s="182"/>
    </row>
    <row r="165" spans="3:5" x14ac:dyDescent="0.2">
      <c r="C165" s="100" t="s">
        <v>319</v>
      </c>
      <c r="D165" s="100"/>
      <c r="E165" s="214">
        <f>+SUM(E156,E159,E162)</f>
        <v>0</v>
      </c>
    </row>
    <row r="166" spans="3:5" x14ac:dyDescent="0.2">
      <c r="E166" s="98">
        <f>+E165*1000</f>
        <v>0</v>
      </c>
    </row>
    <row r="168" spans="3:5" ht="13.15" customHeight="1" x14ac:dyDescent="0.2"/>
    <row r="169" spans="3:5" ht="13.15" customHeight="1" x14ac:dyDescent="0.2"/>
    <row r="170" spans="3:5" ht="13.15" customHeight="1" x14ac:dyDescent="0.2">
      <c r="C170" s="115"/>
      <c r="D170" s="115"/>
    </row>
    <row r="171" spans="3:5" ht="13.15" customHeight="1" x14ac:dyDescent="0.2"/>
    <row r="172" spans="3:5" ht="13.15" customHeight="1" x14ac:dyDescent="0.2">
      <c r="C172" s="115"/>
      <c r="D172" s="115"/>
    </row>
    <row r="173" spans="3:5" ht="13.15" customHeight="1" x14ac:dyDescent="0.2"/>
    <row r="174" spans="3:5" ht="13.15" customHeight="1" x14ac:dyDescent="0.2"/>
    <row r="175" spans="3:5" ht="13.15" customHeight="1" x14ac:dyDescent="0.2"/>
    <row r="176" spans="3:5" ht="13.15" customHeight="1" x14ac:dyDescent="0.2"/>
    <row r="177" spans="7:8" ht="13.15" customHeight="1" x14ac:dyDescent="0.2"/>
    <row r="178" spans="7:8" ht="13.15" customHeight="1" x14ac:dyDescent="0.2"/>
    <row r="179" spans="7:8" ht="13.15" customHeight="1" x14ac:dyDescent="0.2"/>
    <row r="180" spans="7:8" ht="13.15" customHeight="1" x14ac:dyDescent="0.2">
      <c r="G180" s="185"/>
      <c r="H180" s="120"/>
    </row>
    <row r="181" spans="7:8" ht="13.15" customHeight="1" x14ac:dyDescent="0.2">
      <c r="G181" s="185"/>
      <c r="H181" s="120"/>
    </row>
    <row r="182" spans="7:8" ht="13.15" customHeight="1" x14ac:dyDescent="0.2"/>
    <row r="183" spans="7:8" ht="13.15" customHeight="1" x14ac:dyDescent="0.2"/>
    <row r="184" spans="7:8" ht="13.15" customHeight="1" x14ac:dyDescent="0.2"/>
    <row r="185" spans="7:8" ht="13.15" customHeight="1" x14ac:dyDescent="0.2"/>
    <row r="186" spans="7:8" ht="13.15" customHeight="1" x14ac:dyDescent="0.2"/>
    <row r="187" spans="7:8" ht="13.15" customHeight="1" x14ac:dyDescent="0.2"/>
    <row r="221" spans="3:4" ht="13.15" customHeight="1" x14ac:dyDescent="0.2"/>
    <row r="224" spans="3:4" x14ac:dyDescent="0.2">
      <c r="C224" s="97"/>
      <c r="D224" s="97"/>
    </row>
  </sheetData>
  <autoFilter ref="C139:E147" xr:uid="{0A38252A-901E-4041-B58A-4531A199ADAE}"/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112119-E0F9-43A4-932D-C4D7458C488C}">
          <x14:formula1>
            <xm:f>'BD tasas y precios'!$B$4:$B$7</xm:f>
          </x14:formula1>
          <xm:sqref>E24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C4D5-CB83-4BCD-9A2E-E5625C742601}">
  <sheetPr codeName="Hoja4">
    <tabColor rgb="FFFFFF00"/>
  </sheetPr>
  <dimension ref="A1"/>
  <sheetViews>
    <sheetView workbookViewId="0">
      <selection activeCell="F19" sqref="F19:F20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584F-CC16-42B2-B202-8AF371691278}">
  <sheetPr codeName="Hoja5"/>
  <dimension ref="B3:G29"/>
  <sheetViews>
    <sheetView showGridLines="0" zoomScale="115" zoomScaleNormal="115" workbookViewId="0">
      <selection activeCell="B23" sqref="B22:B26"/>
      <pivotSelection pane="bottomRight" showHeader="1" axis="axisRow" activeRow="22" activeCol="1" previousRow="22" previousCol="1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baseColWidth="10" defaultRowHeight="15" x14ac:dyDescent="0.25"/>
  <cols>
    <col min="2" max="2" width="21.28515625" customWidth="1"/>
    <col min="3" max="3" width="20.5703125" customWidth="1"/>
    <col min="6" max="6" width="17.42578125" customWidth="1"/>
    <col min="7" max="7" width="16.85546875" customWidth="1"/>
  </cols>
  <sheetData>
    <row r="3" spans="2:7" s="95" customFormat="1" ht="13.15" customHeight="1" x14ac:dyDescent="0.2">
      <c r="B3" s="100" t="s">
        <v>323</v>
      </c>
      <c r="E3" s="108"/>
    </row>
    <row r="4" spans="2:7" s="95" customFormat="1" ht="13.15" customHeight="1" x14ac:dyDescent="0.2">
      <c r="E4" s="108"/>
    </row>
    <row r="5" spans="2:7" s="95" customFormat="1" ht="12" x14ac:dyDescent="0.2">
      <c r="B5" s="171" t="s">
        <v>247</v>
      </c>
      <c r="C5" s="97" t="s">
        <v>307</v>
      </c>
      <c r="E5" s="108"/>
    </row>
    <row r="6" spans="2:7" s="95" customFormat="1" ht="12" x14ac:dyDescent="0.2">
      <c r="B6" s="171" t="s">
        <v>268</v>
      </c>
      <c r="C6" s="176" t="s">
        <v>301</v>
      </c>
      <c r="D6" s="101"/>
      <c r="E6" s="109"/>
    </row>
    <row r="7" spans="2:7" s="95" customFormat="1" ht="12" x14ac:dyDescent="0.2">
      <c r="B7" s="171" t="s">
        <v>237</v>
      </c>
      <c r="C7" s="97">
        <v>15</v>
      </c>
      <c r="D7" s="101"/>
      <c r="E7" s="108"/>
    </row>
    <row r="8" spans="2:7" s="95" customFormat="1" ht="12" x14ac:dyDescent="0.2">
      <c r="B8" s="171" t="s">
        <v>238</v>
      </c>
      <c r="C8" s="99">
        <v>20000</v>
      </c>
      <c r="D8" s="101"/>
      <c r="E8" s="108"/>
    </row>
    <row r="9" spans="2:7" s="95" customFormat="1" ht="13.15" customHeight="1" x14ac:dyDescent="0.2">
      <c r="B9" s="100"/>
      <c r="D9" s="101"/>
      <c r="E9" s="108"/>
    </row>
    <row r="10" spans="2:7" s="95" customFormat="1" x14ac:dyDescent="0.25">
      <c r="B10" s="97" t="s">
        <v>310</v>
      </c>
      <c r="C10" s="97" t="s">
        <v>311</v>
      </c>
      <c r="D10"/>
      <c r="E10"/>
      <c r="F10"/>
      <c r="G10"/>
    </row>
    <row r="11" spans="2:7" s="95" customFormat="1" x14ac:dyDescent="0.25">
      <c r="B11" s="177">
        <v>8.8999999999999996E-2</v>
      </c>
      <c r="C11" s="99">
        <v>89</v>
      </c>
      <c r="D11"/>
      <c r="E11"/>
      <c r="F11"/>
      <c r="G11"/>
    </row>
    <row r="12" spans="2:7" s="95" customFormat="1" x14ac:dyDescent="0.25">
      <c r="B12"/>
      <c r="C12"/>
      <c r="D12"/>
      <c r="E12"/>
      <c r="F12"/>
      <c r="G12"/>
    </row>
    <row r="13" spans="2:7" s="95" customFormat="1" x14ac:dyDescent="0.25">
      <c r="B13" s="99"/>
      <c r="C13" s="98"/>
      <c r="D13" s="98"/>
      <c r="E13"/>
      <c r="F13"/>
      <c r="G13"/>
    </row>
    <row r="14" spans="2:7" s="95" customFormat="1" x14ac:dyDescent="0.25">
      <c r="B14" s="100" t="s">
        <v>324</v>
      </c>
      <c r="C14" s="98"/>
      <c r="D14" s="98"/>
      <c r="E14"/>
      <c r="F14"/>
      <c r="G14"/>
    </row>
    <row r="15" spans="2:7" s="95" customFormat="1" ht="13.15" customHeight="1" x14ac:dyDescent="0.2">
      <c r="E15" s="108"/>
    </row>
    <row r="16" spans="2:7" s="95" customFormat="1" ht="13.15" customHeight="1" x14ac:dyDescent="0.2">
      <c r="B16" s="95" t="s">
        <v>247</v>
      </c>
      <c r="C16" s="95" t="s">
        <v>18</v>
      </c>
      <c r="E16" s="108"/>
    </row>
    <row r="17" spans="2:7" s="95" customFormat="1" ht="13.15" customHeight="1" x14ac:dyDescent="0.2">
      <c r="B17" s="95" t="s">
        <v>178</v>
      </c>
      <c r="C17" s="95" t="s">
        <v>269</v>
      </c>
      <c r="D17" s="101"/>
      <c r="E17" s="109"/>
    </row>
    <row r="18" spans="2:7" s="95" customFormat="1" ht="13.15" customHeight="1" x14ac:dyDescent="0.2">
      <c r="B18" s="95" t="s">
        <v>237</v>
      </c>
      <c r="C18" s="95" t="s">
        <v>267</v>
      </c>
      <c r="D18" s="101"/>
      <c r="E18" s="108"/>
    </row>
    <row r="19" spans="2:7" s="95" customFormat="1" ht="13.15" customHeight="1" x14ac:dyDescent="0.2">
      <c r="B19" s="95" t="s">
        <v>268</v>
      </c>
      <c r="C19" s="95" t="s">
        <v>301</v>
      </c>
      <c r="D19" s="101"/>
      <c r="E19" s="108"/>
    </row>
    <row r="20" spans="2:7" s="95" customFormat="1" ht="3.6" customHeight="1" x14ac:dyDescent="0.2">
      <c r="B20" s="100"/>
      <c r="D20" s="101"/>
      <c r="E20" s="108"/>
    </row>
    <row r="21" spans="2:7" s="95" customFormat="1" ht="24.6" customHeight="1" x14ac:dyDescent="0.2">
      <c r="B21" s="95" t="s">
        <v>286</v>
      </c>
      <c r="C21" s="97" t="s">
        <v>175</v>
      </c>
      <c r="D21" s="97" t="s">
        <v>292</v>
      </c>
      <c r="E21" s="142" t="s">
        <v>283</v>
      </c>
      <c r="F21" s="142" t="s">
        <v>288</v>
      </c>
      <c r="G21" s="97" t="s">
        <v>293</v>
      </c>
    </row>
    <row r="22" spans="2:7" s="95" customFormat="1" ht="13.15" customHeight="1" x14ac:dyDescent="0.2">
      <c r="B22" s="108" t="s">
        <v>26</v>
      </c>
      <c r="C22" s="98">
        <v>500</v>
      </c>
      <c r="D22" s="157">
        <v>3.5</v>
      </c>
      <c r="E22" s="98">
        <v>2.5</v>
      </c>
      <c r="F22" s="98"/>
      <c r="G22" s="98">
        <v>0.5635</v>
      </c>
    </row>
    <row r="23" spans="2:7" s="95" customFormat="1" ht="13.15" customHeight="1" x14ac:dyDescent="0.2">
      <c r="B23" s="108" t="s">
        <v>31</v>
      </c>
      <c r="C23" s="98">
        <v>1000</v>
      </c>
      <c r="D23" s="157">
        <v>3.5</v>
      </c>
      <c r="E23" s="98">
        <v>3</v>
      </c>
      <c r="F23" s="98"/>
      <c r="G23" s="98">
        <v>0.33810000000000001</v>
      </c>
    </row>
    <row r="24" spans="2:7" s="95" customFormat="1" ht="13.15" customHeight="1" x14ac:dyDescent="0.2">
      <c r="B24" s="108" t="s">
        <v>34</v>
      </c>
      <c r="C24" s="98">
        <v>1500</v>
      </c>
      <c r="D24" s="157">
        <v>3.5</v>
      </c>
      <c r="E24" s="98"/>
      <c r="F24" s="99">
        <v>500</v>
      </c>
      <c r="G24" s="98">
        <v>0.22540000000000002</v>
      </c>
    </row>
    <row r="25" spans="2:7" s="95" customFormat="1" ht="13.15" customHeight="1" x14ac:dyDescent="0.2">
      <c r="B25" s="108" t="s">
        <v>39</v>
      </c>
      <c r="C25" s="98">
        <v>3000</v>
      </c>
      <c r="D25" s="157">
        <v>3.5</v>
      </c>
      <c r="E25" s="98"/>
      <c r="F25" s="99">
        <v>600</v>
      </c>
      <c r="G25" s="98">
        <v>0.18783333333333332</v>
      </c>
    </row>
    <row r="26" spans="2:7" s="95" customFormat="1" ht="13.15" customHeight="1" x14ac:dyDescent="0.2">
      <c r="B26" s="108" t="s">
        <v>63</v>
      </c>
      <c r="C26" s="98">
        <v>15000</v>
      </c>
      <c r="D26" s="157">
        <v>3.5</v>
      </c>
      <c r="E26" s="98"/>
      <c r="F26" s="99">
        <v>700</v>
      </c>
      <c r="G26" s="98">
        <v>0.161</v>
      </c>
    </row>
    <row r="27" spans="2:7" s="95" customFormat="1" ht="13.15" customHeight="1" x14ac:dyDescent="0.2">
      <c r="B27" s="108" t="s">
        <v>287</v>
      </c>
      <c r="C27" s="98">
        <v>21000</v>
      </c>
      <c r="D27" s="157">
        <v>17.5</v>
      </c>
      <c r="E27" s="98">
        <v>5.5</v>
      </c>
      <c r="F27" s="99">
        <v>1800</v>
      </c>
      <c r="G27" s="98">
        <v>1.4758333333333333</v>
      </c>
    </row>
    <row r="28" spans="2:7" s="95" customFormat="1" ht="13.15" customHeight="1" x14ac:dyDescent="0.25">
      <c r="B28"/>
      <c r="C28"/>
      <c r="D28"/>
      <c r="E28"/>
      <c r="F28"/>
      <c r="G28"/>
    </row>
    <row r="29" spans="2:7" s="95" customFormat="1" ht="13.15" customHeight="1" x14ac:dyDescent="0.25">
      <c r="B29"/>
      <c r="C29"/>
      <c r="D29"/>
      <c r="E29"/>
      <c r="F29"/>
      <c r="G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5FEE-E565-488D-9829-89F891FBA9C4}">
  <sheetPr codeName="Hoja6"/>
  <dimension ref="B3:G56"/>
  <sheetViews>
    <sheetView zoomScale="115" zoomScaleNormal="115" workbookViewId="0">
      <selection activeCell="B19" sqref="B19"/>
    </sheetView>
  </sheetViews>
  <sheetFormatPr baseColWidth="10" defaultRowHeight="15" x14ac:dyDescent="0.25"/>
  <cols>
    <col min="1" max="1" width="5" customWidth="1"/>
    <col min="2" max="2" width="48.7109375" bestFit="1" customWidth="1"/>
    <col min="3" max="4" width="8.28515625" customWidth="1"/>
  </cols>
  <sheetData>
    <row r="3" spans="2:7" x14ac:dyDescent="0.25">
      <c r="B3" s="133" t="s">
        <v>294</v>
      </c>
      <c r="C3" s="161">
        <v>2024</v>
      </c>
      <c r="D3" s="161">
        <v>2025</v>
      </c>
      <c r="E3" s="161">
        <v>2026</v>
      </c>
    </row>
    <row r="4" spans="2:7" x14ac:dyDescent="0.25">
      <c r="B4" s="95" t="s">
        <v>278</v>
      </c>
      <c r="C4" s="126">
        <v>223</v>
      </c>
      <c r="D4" s="126">
        <f>+C4*1.035</f>
        <v>230.80499999999998</v>
      </c>
      <c r="E4" s="126">
        <f>+D4*1.03</f>
        <v>237.72914999999998</v>
      </c>
    </row>
    <row r="5" spans="2:7" x14ac:dyDescent="0.25">
      <c r="B5" s="95" t="s">
        <v>279</v>
      </c>
      <c r="C5" s="126">
        <v>274</v>
      </c>
      <c r="D5" s="126">
        <f>+C5*1.035</f>
        <v>283.58999999999997</v>
      </c>
      <c r="E5" s="126">
        <f>+D5*1.03</f>
        <v>292.09769999999997</v>
      </c>
    </row>
    <row r="6" spans="2:7" x14ac:dyDescent="0.25">
      <c r="B6" s="95" t="s">
        <v>280</v>
      </c>
      <c r="C6" s="126">
        <v>325</v>
      </c>
      <c r="D6" s="126">
        <f t="shared" ref="D6:D7" si="0">+C6*1.035</f>
        <v>336.375</v>
      </c>
      <c r="E6" s="126">
        <f t="shared" ref="E6:E7" si="1">+D6*1.03</f>
        <v>346.46625</v>
      </c>
    </row>
    <row r="7" spans="2:7" x14ac:dyDescent="0.25">
      <c r="B7" s="95" t="s">
        <v>281</v>
      </c>
      <c r="C7" s="126">
        <v>440</v>
      </c>
      <c r="D7" s="126">
        <f t="shared" si="0"/>
        <v>455.4</v>
      </c>
      <c r="E7" s="126">
        <f t="shared" si="1"/>
        <v>469.06200000000001</v>
      </c>
    </row>
    <row r="8" spans="2:7" x14ac:dyDescent="0.25">
      <c r="C8" s="12"/>
      <c r="D8" s="12"/>
      <c r="E8" s="12"/>
    </row>
    <row r="9" spans="2:7" x14ac:dyDescent="0.25">
      <c r="C9" s="12"/>
      <c r="D9" s="12"/>
      <c r="E9" s="12"/>
    </row>
    <row r="10" spans="2:7" x14ac:dyDescent="0.25">
      <c r="C10" s="12"/>
      <c r="D10" s="12"/>
      <c r="E10" s="12"/>
    </row>
    <row r="11" spans="2:7" x14ac:dyDescent="0.25">
      <c r="B11" s="133" t="s">
        <v>295</v>
      </c>
      <c r="C11" s="161">
        <v>2024</v>
      </c>
      <c r="D11" s="161">
        <v>2025</v>
      </c>
      <c r="E11" s="161">
        <v>2026</v>
      </c>
    </row>
    <row r="12" spans="2:7" s="95" customFormat="1" ht="13.15" customHeight="1" x14ac:dyDescent="0.25">
      <c r="C12" s="102">
        <v>32.200000000000003</v>
      </c>
      <c r="D12" s="102">
        <v>32.200000000000003</v>
      </c>
      <c r="E12" s="102">
        <v>32.200000000000003</v>
      </c>
      <c r="F12" s="105"/>
      <c r="G12" s="1"/>
    </row>
    <row r="13" spans="2:7" s="95" customFormat="1" ht="13.15" customHeight="1" x14ac:dyDescent="0.25">
      <c r="C13" s="126"/>
      <c r="D13" s="126"/>
      <c r="E13" s="126"/>
      <c r="F13" s="105"/>
      <c r="G13" s="1"/>
    </row>
    <row r="14" spans="2:7" s="95" customFormat="1" ht="13.15" customHeight="1" x14ac:dyDescent="0.25">
      <c r="C14" s="126"/>
      <c r="D14" s="126"/>
      <c r="E14" s="12"/>
      <c r="F14" s="105"/>
      <c r="G14" s="1"/>
    </row>
    <row r="15" spans="2:7" s="95" customFormat="1" ht="13.15" customHeight="1" x14ac:dyDescent="0.25">
      <c r="B15" s="133" t="s">
        <v>199</v>
      </c>
      <c r="C15" s="134"/>
      <c r="D15" s="101"/>
      <c r="E15" s="12"/>
      <c r="F15" s="105"/>
      <c r="G15" s="1"/>
    </row>
    <row r="16" spans="2:7" s="95" customFormat="1" ht="13.15" customHeight="1" x14ac:dyDescent="0.25">
      <c r="B16" s="95" t="s">
        <v>218</v>
      </c>
      <c r="C16" s="126">
        <v>20</v>
      </c>
      <c r="D16" s="97"/>
      <c r="F16" s="105"/>
      <c r="G16" s="1"/>
    </row>
    <row r="17" spans="2:7" s="95" customFormat="1" ht="13.15" customHeight="1" x14ac:dyDescent="0.25">
      <c r="B17" s="95" t="s">
        <v>219</v>
      </c>
      <c r="C17" s="126">
        <v>5</v>
      </c>
      <c r="D17" s="97"/>
      <c r="F17" s="105"/>
      <c r="G17" s="1"/>
    </row>
    <row r="18" spans="2:7" s="95" customFormat="1" ht="13.15" customHeight="1" x14ac:dyDescent="0.25">
      <c r="B18" s="95" t="s">
        <v>220</v>
      </c>
      <c r="C18" s="126">
        <v>20</v>
      </c>
      <c r="D18" s="97"/>
      <c r="G18" s="1"/>
    </row>
    <row r="19" spans="2:7" s="95" customFormat="1" x14ac:dyDescent="0.25">
      <c r="B19" s="95" t="s">
        <v>221</v>
      </c>
      <c r="C19" s="126">
        <v>140</v>
      </c>
      <c r="D19" s="97">
        <v>1</v>
      </c>
      <c r="G19" s="1"/>
    </row>
    <row r="20" spans="2:7" x14ac:dyDescent="0.25">
      <c r="B20" s="95" t="s">
        <v>222</v>
      </c>
      <c r="C20" s="126">
        <v>0</v>
      </c>
      <c r="D20" s="97"/>
    </row>
    <row r="21" spans="2:7" x14ac:dyDescent="0.25">
      <c r="B21" s="95" t="s">
        <v>223</v>
      </c>
      <c r="C21" s="126">
        <v>10</v>
      </c>
      <c r="D21" s="97" t="s">
        <v>198</v>
      </c>
    </row>
    <row r="22" spans="2:7" x14ac:dyDescent="0.25">
      <c r="C22" s="12"/>
    </row>
    <row r="23" spans="2:7" x14ac:dyDescent="0.25">
      <c r="C23" s="12"/>
    </row>
    <row r="24" spans="2:7" x14ac:dyDescent="0.25">
      <c r="B24" s="133" t="s">
        <v>246</v>
      </c>
      <c r="C24" s="134"/>
    </row>
    <row r="25" spans="2:7" x14ac:dyDescent="0.25">
      <c r="B25" s="95" t="s">
        <v>212</v>
      </c>
      <c r="C25" s="104">
        <v>17</v>
      </c>
      <c r="D25" s="107"/>
    </row>
    <row r="26" spans="2:7" x14ac:dyDescent="0.25">
      <c r="B26" s="95" t="s">
        <v>213</v>
      </c>
      <c r="C26" s="103">
        <v>0</v>
      </c>
      <c r="D26" s="107"/>
    </row>
    <row r="27" spans="2:7" x14ac:dyDescent="0.25">
      <c r="B27" s="95" t="s">
        <v>214</v>
      </c>
      <c r="C27" s="104">
        <v>210</v>
      </c>
      <c r="D27" s="107"/>
    </row>
    <row r="28" spans="2:7" x14ac:dyDescent="0.25">
      <c r="B28" s="95" t="s">
        <v>215</v>
      </c>
      <c r="C28" s="104">
        <v>26</v>
      </c>
      <c r="D28" s="107"/>
    </row>
    <row r="29" spans="2:7" x14ac:dyDescent="0.25">
      <c r="B29" s="95" t="s">
        <v>216</v>
      </c>
      <c r="C29" s="104">
        <v>68</v>
      </c>
      <c r="D29" s="107"/>
    </row>
    <row r="30" spans="2:7" x14ac:dyDescent="0.25">
      <c r="B30" s="95" t="s">
        <v>217</v>
      </c>
      <c r="C30" s="104">
        <v>42</v>
      </c>
      <c r="D30" s="107"/>
    </row>
    <row r="31" spans="2:7" x14ac:dyDescent="0.25">
      <c r="C31" s="12"/>
      <c r="D31" s="21"/>
    </row>
    <row r="32" spans="2:7" x14ac:dyDescent="0.25">
      <c r="C32" s="12"/>
      <c r="D32" s="21"/>
    </row>
    <row r="33" spans="2:4" x14ac:dyDescent="0.25">
      <c r="B33" s="100" t="s">
        <v>232</v>
      </c>
      <c r="C33" s="97">
        <v>70</v>
      </c>
    </row>
    <row r="34" spans="2:4" x14ac:dyDescent="0.25">
      <c r="B34" s="108" t="s">
        <v>231</v>
      </c>
      <c r="C34" s="123">
        <v>0.08</v>
      </c>
    </row>
    <row r="35" spans="2:4" x14ac:dyDescent="0.25">
      <c r="B35" s="108" t="s">
        <v>230</v>
      </c>
      <c r="C35" s="123">
        <v>0.05</v>
      </c>
    </row>
    <row r="36" spans="2:4" x14ac:dyDescent="0.25">
      <c r="B36" s="108"/>
      <c r="C36" s="12"/>
    </row>
    <row r="37" spans="2:4" x14ac:dyDescent="0.25">
      <c r="B37" s="108"/>
      <c r="C37" s="12"/>
    </row>
    <row r="38" spans="2:4" x14ac:dyDescent="0.25">
      <c r="C38" s="12"/>
      <c r="D38" s="21"/>
    </row>
    <row r="39" spans="2:4" x14ac:dyDescent="0.25">
      <c r="B39" s="125" t="s">
        <v>229</v>
      </c>
      <c r="C39" s="12"/>
    </row>
    <row r="40" spans="2:4" x14ac:dyDescent="0.25">
      <c r="B40" s="124" t="s">
        <v>228</v>
      </c>
      <c r="C40" s="12"/>
    </row>
    <row r="41" spans="2:4" x14ac:dyDescent="0.25">
      <c r="B41" s="97" t="s">
        <v>227</v>
      </c>
      <c r="C41" s="123">
        <v>2.5000000000000001E-2</v>
      </c>
    </row>
    <row r="42" spans="2:4" x14ac:dyDescent="0.25">
      <c r="B42" s="97">
        <v>150</v>
      </c>
      <c r="C42" s="123">
        <v>0.03</v>
      </c>
    </row>
    <row r="43" spans="2:4" x14ac:dyDescent="0.25">
      <c r="B43" s="97">
        <v>500</v>
      </c>
      <c r="C43" s="123">
        <v>0.03</v>
      </c>
    </row>
    <row r="44" spans="2:4" x14ac:dyDescent="0.25">
      <c r="B44" s="97">
        <v>1000</v>
      </c>
      <c r="C44" s="123">
        <v>0.03</v>
      </c>
    </row>
    <row r="45" spans="2:4" x14ac:dyDescent="0.25">
      <c r="B45" s="97">
        <v>1500</v>
      </c>
      <c r="C45" s="123">
        <v>0.03</v>
      </c>
    </row>
    <row r="46" spans="2:4" x14ac:dyDescent="0.25">
      <c r="B46" s="97">
        <v>2500</v>
      </c>
      <c r="C46" s="123">
        <v>0.03</v>
      </c>
    </row>
    <row r="47" spans="2:4" x14ac:dyDescent="0.25">
      <c r="B47" s="97">
        <v>3000</v>
      </c>
      <c r="C47" s="123">
        <v>0.03</v>
      </c>
    </row>
    <row r="48" spans="2:4" x14ac:dyDescent="0.25">
      <c r="B48" s="97">
        <v>4000</v>
      </c>
      <c r="C48" s="123">
        <v>0.03</v>
      </c>
    </row>
    <row r="49" spans="2:3" x14ac:dyDescent="0.25">
      <c r="C49" s="12"/>
    </row>
    <row r="50" spans="2:3" x14ac:dyDescent="0.25">
      <c r="C50" s="12"/>
    </row>
    <row r="51" spans="2:3" x14ac:dyDescent="0.25">
      <c r="C51" s="12"/>
    </row>
    <row r="52" spans="2:3" x14ac:dyDescent="0.25">
      <c r="C52" s="12"/>
    </row>
    <row r="53" spans="2:3" x14ac:dyDescent="0.25">
      <c r="C53" s="12"/>
    </row>
    <row r="54" spans="2:3" x14ac:dyDescent="0.25">
      <c r="B54" s="133" t="s">
        <v>362</v>
      </c>
      <c r="C54" s="12"/>
    </row>
    <row r="55" spans="2:3" x14ac:dyDescent="0.25">
      <c r="B55" t="s">
        <v>363</v>
      </c>
      <c r="C55" s="12"/>
    </row>
    <row r="56" spans="2:3" x14ac:dyDescent="0.25">
      <c r="B56" t="s">
        <v>364</v>
      </c>
      <c r="C5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3B06-187B-4D35-B6FE-9B0F28391A4E}">
  <sheetPr codeName="Hoja7"/>
  <dimension ref="A1:T423"/>
  <sheetViews>
    <sheetView tabSelected="1" zoomScale="85" zoomScaleNormal="85" workbookViewId="0">
      <pane ySplit="2" topLeftCell="A15" activePane="bottomLeft" state="frozen"/>
      <selection activeCell="C12" sqref="C12"/>
      <selection pane="bottomLeft" activeCell="F14" sqref="F14"/>
    </sheetView>
  </sheetViews>
  <sheetFormatPr baseColWidth="10" defaultRowHeight="15" x14ac:dyDescent="0.25"/>
  <cols>
    <col min="1" max="1" width="16.5703125" style="114" customWidth="1"/>
    <col min="2" max="2" width="18.28515625" style="114" customWidth="1"/>
    <col min="3" max="3" width="21.42578125" style="114" bestFit="1" customWidth="1"/>
    <col min="4" max="4" width="21.5703125" style="114" bestFit="1" customWidth="1"/>
    <col min="5" max="5" width="26.85546875" style="1" bestFit="1" customWidth="1"/>
    <col min="6" max="7" width="13.7109375" customWidth="1"/>
    <col min="8" max="8" width="20.5703125" customWidth="1"/>
    <col min="10" max="10" width="14.85546875" style="12" customWidth="1"/>
    <col min="11" max="11" width="16.42578125" customWidth="1"/>
    <col min="12" max="12" width="11.42578125" customWidth="1"/>
    <col min="13" max="13" width="14.5703125" bestFit="1" customWidth="1"/>
    <col min="14" max="14" width="13.42578125" style="162" customWidth="1"/>
    <col min="20" max="20" width="13.5703125" customWidth="1"/>
  </cols>
  <sheetData>
    <row r="1" spans="1:20" x14ac:dyDescent="0.25">
      <c r="I1" s="26"/>
      <c r="K1" s="12"/>
      <c r="M1" s="10">
        <f>'BD tasas y precios'!E12</f>
        <v>32.200000000000003</v>
      </c>
      <c r="T1" s="12"/>
    </row>
    <row r="2" spans="1:20" x14ac:dyDescent="0.25">
      <c r="A2" s="166" t="s">
        <v>178</v>
      </c>
      <c r="B2" s="166" t="s">
        <v>268</v>
      </c>
      <c r="C2" s="166" t="s">
        <v>377</v>
      </c>
      <c r="D2" s="166" t="s">
        <v>378</v>
      </c>
      <c r="E2" s="167" t="s">
        <v>247</v>
      </c>
      <c r="F2" s="167" t="s">
        <v>379</v>
      </c>
      <c r="G2" s="167" t="s">
        <v>380</v>
      </c>
      <c r="H2" s="168" t="s">
        <v>238</v>
      </c>
      <c r="I2" s="168" t="s">
        <v>248</v>
      </c>
      <c r="J2" s="168" t="s">
        <v>249</v>
      </c>
      <c r="K2" s="168" t="s">
        <v>252</v>
      </c>
      <c r="L2" s="164" t="s">
        <v>250</v>
      </c>
      <c r="M2" s="164" t="s">
        <v>304</v>
      </c>
      <c r="N2" s="165" t="s">
        <v>251</v>
      </c>
      <c r="O2" s="26" t="s">
        <v>257</v>
      </c>
      <c r="P2" s="26" t="s">
        <v>253</v>
      </c>
    </row>
    <row r="3" spans="1:20" hidden="1" x14ac:dyDescent="0.25">
      <c r="A3" s="114" t="s">
        <v>269</v>
      </c>
      <c r="B3" s="114" t="s">
        <v>301</v>
      </c>
      <c r="C3" s="114">
        <v>0</v>
      </c>
      <c r="D3" s="114">
        <v>25</v>
      </c>
      <c r="E3" s="1" t="s">
        <v>263</v>
      </c>
      <c r="F3" s="35">
        <v>0</v>
      </c>
      <c r="G3" s="35">
        <v>500</v>
      </c>
      <c r="H3" s="127">
        <v>500</v>
      </c>
      <c r="I3" s="138">
        <v>1.5</v>
      </c>
      <c r="J3" s="138">
        <v>1</v>
      </c>
      <c r="K3" s="136"/>
      <c r="L3" s="130">
        <f>+I3*J3</f>
        <v>1.5</v>
      </c>
      <c r="M3" s="28">
        <f>+L3*$M$1</f>
        <v>48.300000000000004</v>
      </c>
      <c r="N3" s="162">
        <f>+M3/H3</f>
        <v>9.6600000000000005E-2</v>
      </c>
      <c r="O3" s="131">
        <f t="shared" ref="O3:O8" si="0">+N3*1000</f>
        <v>96.600000000000009</v>
      </c>
      <c r="P3" s="130">
        <f t="shared" ref="P3" si="1">+J3/8</f>
        <v>0.125</v>
      </c>
      <c r="R3" s="27" t="s">
        <v>254</v>
      </c>
    </row>
    <row r="4" spans="1:20" hidden="1" x14ac:dyDescent="0.25">
      <c r="A4" s="114" t="s">
        <v>269</v>
      </c>
      <c r="B4" s="114" t="s">
        <v>301</v>
      </c>
      <c r="C4" s="114">
        <v>0</v>
      </c>
      <c r="D4" s="114">
        <v>25</v>
      </c>
      <c r="E4" s="1" t="s">
        <v>265</v>
      </c>
      <c r="F4" s="35">
        <v>0</v>
      </c>
      <c r="G4" s="35">
        <v>500</v>
      </c>
      <c r="H4" s="127">
        <v>500</v>
      </c>
      <c r="I4" s="138">
        <v>1.5</v>
      </c>
      <c r="J4" s="138">
        <v>1.5</v>
      </c>
      <c r="K4" s="136"/>
      <c r="L4" s="130">
        <f>+I4*J4</f>
        <v>2.25</v>
      </c>
      <c r="M4" s="28">
        <f>+L4*$M$1</f>
        <v>72.45</v>
      </c>
      <c r="N4" s="162">
        <f>+M4/H4</f>
        <v>0.1449</v>
      </c>
      <c r="O4" s="131">
        <f t="shared" si="0"/>
        <v>144.9</v>
      </c>
      <c r="P4" s="130">
        <f t="shared" ref="P4:P14" si="2">+J4/8</f>
        <v>0.1875</v>
      </c>
      <c r="R4" s="27" t="s">
        <v>255</v>
      </c>
    </row>
    <row r="5" spans="1:20" hidden="1" x14ac:dyDescent="0.25">
      <c r="A5" s="114" t="s">
        <v>269</v>
      </c>
      <c r="B5" s="114" t="s">
        <v>271</v>
      </c>
      <c r="C5" s="114">
        <v>0</v>
      </c>
      <c r="D5" s="114">
        <v>25</v>
      </c>
      <c r="E5" s="1" t="s">
        <v>263</v>
      </c>
      <c r="F5" s="35">
        <v>0</v>
      </c>
      <c r="G5" s="35">
        <v>500</v>
      </c>
      <c r="H5" s="127">
        <v>500</v>
      </c>
      <c r="I5" s="138">
        <v>1.5</v>
      </c>
      <c r="J5" s="138">
        <v>1.5</v>
      </c>
      <c r="K5" s="136"/>
      <c r="L5" s="130">
        <f>+I5*J5</f>
        <v>2.25</v>
      </c>
      <c r="M5" s="28">
        <f>+L5*$M$1</f>
        <v>72.45</v>
      </c>
      <c r="N5" s="162">
        <f>+M5/H5</f>
        <v>0.1449</v>
      </c>
      <c r="O5" s="131">
        <f t="shared" si="0"/>
        <v>144.9</v>
      </c>
      <c r="P5" s="130">
        <f t="shared" si="2"/>
        <v>0.1875</v>
      </c>
    </row>
    <row r="6" spans="1:20" hidden="1" x14ac:dyDescent="0.25">
      <c r="A6" s="114" t="s">
        <v>269</v>
      </c>
      <c r="B6" s="114" t="s">
        <v>271</v>
      </c>
      <c r="C6" s="114">
        <v>0</v>
      </c>
      <c r="D6" s="114">
        <v>25</v>
      </c>
      <c r="E6" s="1" t="s">
        <v>265</v>
      </c>
      <c r="F6" s="35">
        <v>0</v>
      </c>
      <c r="G6" s="35">
        <v>500</v>
      </c>
      <c r="H6" s="127">
        <v>500</v>
      </c>
      <c r="I6" s="138">
        <v>1.5</v>
      </c>
      <c r="J6" s="138">
        <v>1.5</v>
      </c>
      <c r="K6" s="136"/>
      <c r="L6" s="130">
        <f>+I6*J6</f>
        <v>2.25</v>
      </c>
      <c r="M6" s="28">
        <f>+L6*$M$1</f>
        <v>72.45</v>
      </c>
      <c r="N6" s="162">
        <f>+M6/H6</f>
        <v>0.1449</v>
      </c>
      <c r="O6" s="131">
        <f t="shared" si="0"/>
        <v>144.9</v>
      </c>
      <c r="P6" s="130">
        <f t="shared" si="2"/>
        <v>0.1875</v>
      </c>
    </row>
    <row r="7" spans="1:20" hidden="1" x14ac:dyDescent="0.25">
      <c r="A7" s="114" t="s">
        <v>269</v>
      </c>
      <c r="B7" s="114" t="s">
        <v>271</v>
      </c>
      <c r="C7" s="114">
        <v>0</v>
      </c>
      <c r="D7" s="114">
        <v>25</v>
      </c>
      <c r="E7" s="1" t="s">
        <v>266</v>
      </c>
      <c r="F7" s="35">
        <v>0</v>
      </c>
      <c r="G7" s="35">
        <v>500</v>
      </c>
      <c r="H7" s="127">
        <v>500</v>
      </c>
      <c r="I7" s="138">
        <v>1.5</v>
      </c>
      <c r="J7" s="138">
        <v>2.5</v>
      </c>
      <c r="K7" s="136"/>
      <c r="L7" s="130">
        <f>+I7*J7</f>
        <v>3.75</v>
      </c>
      <c r="M7" s="28">
        <f>+L7*$M$1</f>
        <v>120.75000000000001</v>
      </c>
      <c r="N7" s="162">
        <f>+M7/H7</f>
        <v>0.24150000000000002</v>
      </c>
      <c r="O7" s="131">
        <f t="shared" si="0"/>
        <v>241.50000000000003</v>
      </c>
      <c r="P7" s="130">
        <f t="shared" si="2"/>
        <v>0.3125</v>
      </c>
    </row>
    <row r="8" spans="1:20" hidden="1" x14ac:dyDescent="0.25">
      <c r="A8" s="114" t="s">
        <v>269</v>
      </c>
      <c r="B8" s="114" t="s">
        <v>301</v>
      </c>
      <c r="C8" s="114">
        <v>0</v>
      </c>
      <c r="D8" s="114">
        <v>25</v>
      </c>
      <c r="E8" s="1" t="s">
        <v>264</v>
      </c>
      <c r="F8" s="35">
        <v>0</v>
      </c>
      <c r="G8" s="35">
        <v>500</v>
      </c>
      <c r="H8" s="127">
        <v>500</v>
      </c>
      <c r="I8" s="138">
        <v>2.5</v>
      </c>
      <c r="J8" s="138">
        <v>1</v>
      </c>
      <c r="K8" s="136"/>
      <c r="L8" s="130">
        <f>+I8*J8</f>
        <v>2.5</v>
      </c>
      <c r="M8" s="28">
        <f>+L8*$M$1</f>
        <v>80.5</v>
      </c>
      <c r="N8" s="162">
        <f>+M8/H8</f>
        <v>0.161</v>
      </c>
      <c r="O8" s="131">
        <f t="shared" si="0"/>
        <v>161</v>
      </c>
      <c r="P8" s="130">
        <f t="shared" si="2"/>
        <v>0.125</v>
      </c>
    </row>
    <row r="9" spans="1:20" hidden="1" x14ac:dyDescent="0.25">
      <c r="A9" s="114" t="s">
        <v>269</v>
      </c>
      <c r="B9" s="114" t="s">
        <v>301</v>
      </c>
      <c r="C9" s="114">
        <v>0</v>
      </c>
      <c r="D9" s="114">
        <v>25</v>
      </c>
      <c r="E9" s="1" t="s">
        <v>266</v>
      </c>
      <c r="F9" s="35">
        <v>0</v>
      </c>
      <c r="G9" s="35">
        <v>500</v>
      </c>
      <c r="H9" s="127">
        <v>500</v>
      </c>
      <c r="I9" s="138">
        <v>2.5</v>
      </c>
      <c r="J9" s="138">
        <v>1.5</v>
      </c>
      <c r="K9" s="136"/>
      <c r="L9" s="130">
        <f>+I9*J9</f>
        <v>3.75</v>
      </c>
      <c r="M9" s="28">
        <f>+L9*$M$1</f>
        <v>120.75000000000001</v>
      </c>
      <c r="N9" s="162">
        <f>+M9/H9</f>
        <v>0.24150000000000002</v>
      </c>
      <c r="O9" s="131">
        <f t="shared" ref="O9:O10" si="3">+N9*1000</f>
        <v>241.50000000000003</v>
      </c>
      <c r="P9" s="130">
        <f t="shared" si="2"/>
        <v>0.1875</v>
      </c>
    </row>
    <row r="10" spans="1:20" hidden="1" x14ac:dyDescent="0.25">
      <c r="A10" s="114" t="s">
        <v>269</v>
      </c>
      <c r="B10" s="114" t="s">
        <v>271</v>
      </c>
      <c r="C10" s="114">
        <v>0</v>
      </c>
      <c r="D10" s="114">
        <v>25</v>
      </c>
      <c r="E10" s="1" t="s">
        <v>264</v>
      </c>
      <c r="F10" s="35">
        <v>0</v>
      </c>
      <c r="G10" s="35">
        <v>500</v>
      </c>
      <c r="H10" s="127">
        <v>500</v>
      </c>
      <c r="I10" s="138">
        <v>2.5</v>
      </c>
      <c r="J10" s="138">
        <v>1.5</v>
      </c>
      <c r="K10" s="136"/>
      <c r="L10" s="130">
        <f>+I10*J10</f>
        <v>3.75</v>
      </c>
      <c r="M10" s="28">
        <f>+L10*$M$1</f>
        <v>120.75000000000001</v>
      </c>
      <c r="N10" s="162">
        <f>+M10/H10</f>
        <v>0.24150000000000002</v>
      </c>
      <c r="O10" s="131">
        <f t="shared" si="3"/>
        <v>241.50000000000003</v>
      </c>
      <c r="P10" s="130">
        <f t="shared" si="2"/>
        <v>0.1875</v>
      </c>
    </row>
    <row r="11" spans="1:20" hidden="1" x14ac:dyDescent="0.25">
      <c r="A11" s="114" t="s">
        <v>269</v>
      </c>
      <c r="B11" s="114" t="s">
        <v>301</v>
      </c>
      <c r="C11" s="114">
        <v>0</v>
      </c>
      <c r="D11" s="114">
        <v>25</v>
      </c>
      <c r="E11" s="1" t="s">
        <v>18</v>
      </c>
      <c r="F11" s="35">
        <v>0</v>
      </c>
      <c r="G11" s="35">
        <v>500</v>
      </c>
      <c r="H11" s="127">
        <v>500</v>
      </c>
      <c r="I11" s="138">
        <v>3.5</v>
      </c>
      <c r="J11" s="138">
        <v>2.5</v>
      </c>
      <c r="K11" s="136"/>
      <c r="L11">
        <f>+I11*J11</f>
        <v>8.75</v>
      </c>
      <c r="M11" s="28">
        <f>+L11*$M$1</f>
        <v>281.75</v>
      </c>
      <c r="N11" s="162">
        <f>+M11/H11</f>
        <v>0.5635</v>
      </c>
      <c r="O11" s="131">
        <f t="shared" ref="O11:O14" si="4">+N11*1000</f>
        <v>563.5</v>
      </c>
      <c r="P11" s="130">
        <f t="shared" si="2"/>
        <v>0.3125</v>
      </c>
    </row>
    <row r="12" spans="1:20" hidden="1" x14ac:dyDescent="0.25">
      <c r="A12" s="114" t="s">
        <v>269</v>
      </c>
      <c r="B12" s="114" t="s">
        <v>301</v>
      </c>
      <c r="C12" s="114">
        <v>0</v>
      </c>
      <c r="D12" s="114">
        <v>25</v>
      </c>
      <c r="E12" s="1" t="s">
        <v>50</v>
      </c>
      <c r="F12" s="35">
        <v>0</v>
      </c>
      <c r="G12" s="35">
        <v>500</v>
      </c>
      <c r="H12" s="127">
        <v>500</v>
      </c>
      <c r="I12" s="138">
        <v>4.5</v>
      </c>
      <c r="J12" s="138">
        <v>2.5</v>
      </c>
      <c r="K12" s="136"/>
      <c r="L12" s="130">
        <f>+I12*J12</f>
        <v>11.25</v>
      </c>
      <c r="M12" s="28">
        <f>+L12*$M$1</f>
        <v>362.25000000000006</v>
      </c>
      <c r="N12" s="162">
        <f>+M12/H12</f>
        <v>0.72450000000000014</v>
      </c>
      <c r="O12" s="131">
        <f t="shared" si="4"/>
        <v>724.50000000000011</v>
      </c>
      <c r="P12" s="130">
        <f t="shared" si="2"/>
        <v>0.3125</v>
      </c>
    </row>
    <row r="13" spans="1:20" hidden="1" x14ac:dyDescent="0.25">
      <c r="A13" s="114" t="s">
        <v>269</v>
      </c>
      <c r="B13" s="114" t="s">
        <v>271</v>
      </c>
      <c r="C13" s="114">
        <v>0</v>
      </c>
      <c r="D13" s="114">
        <v>25</v>
      </c>
      <c r="E13" s="1" t="s">
        <v>18</v>
      </c>
      <c r="F13" s="35">
        <v>0</v>
      </c>
      <c r="G13" s="35">
        <v>500</v>
      </c>
      <c r="H13" s="127">
        <v>500</v>
      </c>
      <c r="I13" s="138">
        <v>4.5</v>
      </c>
      <c r="J13" s="138">
        <v>2.5</v>
      </c>
      <c r="K13" s="136"/>
      <c r="L13">
        <f>+I13*J13</f>
        <v>11.25</v>
      </c>
      <c r="M13" s="28">
        <f>+L13*$M$1</f>
        <v>362.25000000000006</v>
      </c>
      <c r="N13" s="162">
        <f>+M13/H13</f>
        <v>0.72450000000000014</v>
      </c>
      <c r="O13" s="131">
        <f t="shared" si="4"/>
        <v>724.50000000000011</v>
      </c>
      <c r="P13" s="130">
        <f t="shared" si="2"/>
        <v>0.3125</v>
      </c>
    </row>
    <row r="14" spans="1:20" hidden="1" x14ac:dyDescent="0.25">
      <c r="A14" s="114" t="s">
        <v>269</v>
      </c>
      <c r="B14" s="114" t="s">
        <v>301</v>
      </c>
      <c r="C14" s="114">
        <v>0</v>
      </c>
      <c r="D14" s="114">
        <v>25</v>
      </c>
      <c r="E14" s="1" t="s">
        <v>17</v>
      </c>
      <c r="F14" s="35">
        <v>0</v>
      </c>
      <c r="G14" s="35">
        <v>500</v>
      </c>
      <c r="H14" s="127">
        <v>500</v>
      </c>
      <c r="I14" s="138">
        <v>3.5</v>
      </c>
      <c r="J14" s="138">
        <v>1</v>
      </c>
      <c r="K14" s="136"/>
      <c r="L14" s="130">
        <f>+I14*J14</f>
        <v>3.5</v>
      </c>
      <c r="M14" s="28">
        <f>+L14*$M$1</f>
        <v>112.70000000000002</v>
      </c>
      <c r="N14" s="162">
        <f>+M14/H14</f>
        <v>0.22540000000000004</v>
      </c>
      <c r="O14" s="131">
        <f t="shared" si="4"/>
        <v>225.40000000000003</v>
      </c>
      <c r="P14" s="130">
        <f t="shared" si="2"/>
        <v>0.125</v>
      </c>
    </row>
    <row r="15" spans="1:20" x14ac:dyDescent="0.25">
      <c r="A15" s="114" t="s">
        <v>270</v>
      </c>
      <c r="B15" s="114" t="s">
        <v>301</v>
      </c>
      <c r="C15" s="114">
        <v>151</v>
      </c>
      <c r="D15" s="114">
        <v>300</v>
      </c>
      <c r="E15" s="1" t="s">
        <v>263</v>
      </c>
      <c r="F15" s="35">
        <v>0</v>
      </c>
      <c r="G15" s="35">
        <v>500</v>
      </c>
      <c r="H15" s="127">
        <v>500</v>
      </c>
      <c r="I15" s="138">
        <v>1.5</v>
      </c>
      <c r="J15" s="138">
        <v>1.5</v>
      </c>
      <c r="K15" s="136"/>
      <c r="L15" s="130">
        <f>+I15*J15</f>
        <v>2.25</v>
      </c>
      <c r="M15" s="28">
        <f>+L15*$M$1</f>
        <v>72.45</v>
      </c>
      <c r="N15" s="162">
        <f>+M15/H15</f>
        <v>0.1449</v>
      </c>
      <c r="O15" s="131">
        <f t="shared" ref="O15:O19" si="5">+N15*1000</f>
        <v>144.9</v>
      </c>
      <c r="P15" s="130">
        <f t="shared" ref="P15:P78" si="6">+J15/8</f>
        <v>0.1875</v>
      </c>
    </row>
    <row r="16" spans="1:20" x14ac:dyDescent="0.25">
      <c r="A16" s="114" t="s">
        <v>270</v>
      </c>
      <c r="B16" s="114" t="s">
        <v>301</v>
      </c>
      <c r="C16" s="114">
        <v>301</v>
      </c>
      <c r="D16" s="114">
        <v>500</v>
      </c>
      <c r="E16" s="1" t="s">
        <v>263</v>
      </c>
      <c r="F16" s="35">
        <v>0</v>
      </c>
      <c r="G16" s="35">
        <v>500</v>
      </c>
      <c r="H16" s="127">
        <v>500</v>
      </c>
      <c r="I16" s="138">
        <v>1.5</v>
      </c>
      <c r="J16" s="138">
        <v>1.5</v>
      </c>
      <c r="K16" s="136"/>
      <c r="L16" s="130">
        <f>+I16*J16</f>
        <v>2.25</v>
      </c>
      <c r="M16" s="28">
        <f>+L16*$M$1</f>
        <v>72.45</v>
      </c>
      <c r="N16" s="162">
        <f>+M16/H16</f>
        <v>0.1449</v>
      </c>
      <c r="O16" s="131">
        <f t="shared" si="5"/>
        <v>144.9</v>
      </c>
      <c r="P16" s="130">
        <f t="shared" si="6"/>
        <v>0.1875</v>
      </c>
    </row>
    <row r="17" spans="1:16" x14ac:dyDescent="0.25">
      <c r="A17" s="114" t="s">
        <v>270</v>
      </c>
      <c r="B17" s="114" t="s">
        <v>301</v>
      </c>
      <c r="C17" s="114">
        <v>501</v>
      </c>
      <c r="D17" s="114">
        <v>1000</v>
      </c>
      <c r="E17" s="1" t="s">
        <v>263</v>
      </c>
      <c r="F17" s="35">
        <v>0</v>
      </c>
      <c r="G17" s="35">
        <v>500</v>
      </c>
      <c r="H17" s="127">
        <v>500</v>
      </c>
      <c r="I17" s="138">
        <v>1.5</v>
      </c>
      <c r="J17" s="138">
        <v>1.5</v>
      </c>
      <c r="K17" s="136"/>
      <c r="L17" s="130">
        <f>+I17*J17</f>
        <v>2.25</v>
      </c>
      <c r="M17" s="28">
        <f>+L17*$M$1</f>
        <v>72.45</v>
      </c>
      <c r="N17" s="162">
        <f>+M17/H17</f>
        <v>0.1449</v>
      </c>
      <c r="O17" s="131">
        <f t="shared" si="5"/>
        <v>144.9</v>
      </c>
      <c r="P17" s="130">
        <f t="shared" si="6"/>
        <v>0.1875</v>
      </c>
    </row>
    <row r="18" spans="1:16" hidden="1" x14ac:dyDescent="0.25">
      <c r="A18" s="114" t="s">
        <v>269</v>
      </c>
      <c r="B18" s="114" t="s">
        <v>271</v>
      </c>
      <c r="C18" s="114">
        <v>0</v>
      </c>
      <c r="D18" s="114">
        <v>25</v>
      </c>
      <c r="E18" s="1" t="s">
        <v>277</v>
      </c>
      <c r="F18" s="35">
        <v>0</v>
      </c>
      <c r="G18" s="35">
        <v>500</v>
      </c>
      <c r="H18" s="127">
        <v>500</v>
      </c>
      <c r="I18" s="138">
        <v>3.5</v>
      </c>
      <c r="J18" s="138">
        <v>1.5</v>
      </c>
      <c r="K18" s="136"/>
      <c r="L18" s="130">
        <f>+I18*J18</f>
        <v>5.25</v>
      </c>
      <c r="M18" s="28">
        <f>+L18*$M$1</f>
        <v>169.05</v>
      </c>
      <c r="N18" s="162">
        <f>+M18/H18</f>
        <v>0.33810000000000001</v>
      </c>
      <c r="O18" s="131">
        <f t="shared" si="5"/>
        <v>338.1</v>
      </c>
      <c r="P18" s="130">
        <f t="shared" si="6"/>
        <v>0.1875</v>
      </c>
    </row>
    <row r="19" spans="1:16" hidden="1" x14ac:dyDescent="0.25">
      <c r="A19" s="114" t="s">
        <v>269</v>
      </c>
      <c r="B19" s="114" t="s">
        <v>271</v>
      </c>
      <c r="C19" s="114">
        <v>0</v>
      </c>
      <c r="D19" s="114">
        <v>25</v>
      </c>
      <c r="E19" s="1" t="s">
        <v>50</v>
      </c>
      <c r="F19" s="35">
        <v>0</v>
      </c>
      <c r="G19" s="35">
        <v>500</v>
      </c>
      <c r="H19" s="127">
        <v>500</v>
      </c>
      <c r="I19" s="138">
        <v>5.5</v>
      </c>
      <c r="J19" s="138">
        <v>2.5</v>
      </c>
      <c r="K19" s="136"/>
      <c r="L19" s="130">
        <f>+I19*J19</f>
        <v>13.75</v>
      </c>
      <c r="M19" s="28">
        <f>+L19*$M$1</f>
        <v>442.75000000000006</v>
      </c>
      <c r="N19" s="162">
        <f>+M19/H19</f>
        <v>0.88550000000000006</v>
      </c>
      <c r="O19" s="131">
        <f t="shared" si="5"/>
        <v>885.50000000000011</v>
      </c>
      <c r="P19" s="130">
        <f t="shared" si="6"/>
        <v>0.3125</v>
      </c>
    </row>
    <row r="20" spans="1:16" hidden="1" x14ac:dyDescent="0.25">
      <c r="A20" s="114" t="s">
        <v>269</v>
      </c>
      <c r="B20" s="114" t="s">
        <v>301</v>
      </c>
      <c r="C20" s="114">
        <v>0</v>
      </c>
      <c r="D20" s="114">
        <v>25</v>
      </c>
      <c r="E20" s="172" t="s">
        <v>256</v>
      </c>
      <c r="F20" s="35">
        <v>0</v>
      </c>
      <c r="G20" s="35">
        <v>500</v>
      </c>
      <c r="H20" s="127">
        <v>500</v>
      </c>
      <c r="I20" s="140">
        <f>+I4+1</f>
        <v>2.5</v>
      </c>
      <c r="J20" s="138">
        <v>2.5</v>
      </c>
      <c r="K20" s="136"/>
      <c r="L20">
        <f>+I20*J20</f>
        <v>6.25</v>
      </c>
      <c r="M20" s="28">
        <f>+L20*$M$1</f>
        <v>201.25000000000003</v>
      </c>
      <c r="N20" s="162">
        <f>+M20/H20</f>
        <v>0.40250000000000008</v>
      </c>
      <c r="O20" s="131">
        <f t="shared" ref="O20:O36" si="7">+N20*1000</f>
        <v>402.50000000000006</v>
      </c>
      <c r="P20" s="130">
        <f t="shared" si="6"/>
        <v>0.3125</v>
      </c>
    </row>
    <row r="21" spans="1:16" hidden="1" x14ac:dyDescent="0.25">
      <c r="A21" s="114" t="s">
        <v>269</v>
      </c>
      <c r="B21" s="114" t="s">
        <v>301</v>
      </c>
      <c r="C21" s="114">
        <v>0</v>
      </c>
      <c r="D21" s="114">
        <v>25</v>
      </c>
      <c r="E21" s="1" t="s">
        <v>18</v>
      </c>
      <c r="F21" s="35">
        <v>501</v>
      </c>
      <c r="G21" s="35">
        <v>1000</v>
      </c>
      <c r="H21" s="127">
        <v>1000</v>
      </c>
      <c r="I21" s="138">
        <v>3.5</v>
      </c>
      <c r="J21" s="139">
        <v>3</v>
      </c>
      <c r="K21" s="136"/>
      <c r="L21">
        <f>+I21*J21</f>
        <v>10.5</v>
      </c>
      <c r="M21" s="28">
        <f>+L21*$M$1</f>
        <v>338.1</v>
      </c>
      <c r="N21" s="162">
        <f>+M21/H21</f>
        <v>0.33810000000000001</v>
      </c>
      <c r="O21" s="131">
        <f t="shared" si="7"/>
        <v>338.1</v>
      </c>
      <c r="P21" s="130">
        <f t="shared" si="6"/>
        <v>0.375</v>
      </c>
    </row>
    <row r="22" spans="1:16" hidden="1" x14ac:dyDescent="0.25">
      <c r="A22" s="114" t="s">
        <v>269</v>
      </c>
      <c r="B22" s="114" t="s">
        <v>271</v>
      </c>
      <c r="C22" s="114">
        <v>0</v>
      </c>
      <c r="D22" s="114">
        <v>25</v>
      </c>
      <c r="E22" s="1" t="s">
        <v>18</v>
      </c>
      <c r="F22" s="35">
        <v>501</v>
      </c>
      <c r="G22" s="35">
        <v>1000</v>
      </c>
      <c r="H22" s="127">
        <v>1000</v>
      </c>
      <c r="I22" s="138">
        <v>4.5</v>
      </c>
      <c r="J22" s="139">
        <v>3</v>
      </c>
      <c r="K22" s="136"/>
      <c r="L22">
        <f>+I22*J22</f>
        <v>13.5</v>
      </c>
      <c r="M22" s="28">
        <f>+L22*$M$1</f>
        <v>434.70000000000005</v>
      </c>
      <c r="N22" s="162">
        <f>+M22/H22</f>
        <v>0.43470000000000003</v>
      </c>
      <c r="O22" s="131">
        <f t="shared" si="7"/>
        <v>434.70000000000005</v>
      </c>
      <c r="P22" s="130">
        <f t="shared" si="6"/>
        <v>0.375</v>
      </c>
    </row>
    <row r="23" spans="1:16" hidden="1" x14ac:dyDescent="0.25">
      <c r="A23" s="114" t="s">
        <v>269</v>
      </c>
      <c r="B23" s="114" t="s">
        <v>301</v>
      </c>
      <c r="C23" s="114">
        <v>0</v>
      </c>
      <c r="D23" s="114">
        <v>25</v>
      </c>
      <c r="E23" s="172" t="s">
        <v>256</v>
      </c>
      <c r="F23" s="35">
        <v>501</v>
      </c>
      <c r="G23" s="35">
        <v>1000</v>
      </c>
      <c r="H23" s="127">
        <v>1000</v>
      </c>
      <c r="I23" s="140">
        <f>+I19+1</f>
        <v>6.5</v>
      </c>
      <c r="J23" s="139">
        <v>3</v>
      </c>
      <c r="K23" s="136"/>
      <c r="L23">
        <f>+I23*J23</f>
        <v>19.5</v>
      </c>
      <c r="M23" s="28">
        <f>+L23*$M$1</f>
        <v>627.90000000000009</v>
      </c>
      <c r="N23" s="162">
        <f>+M23/H23</f>
        <v>0.62790000000000012</v>
      </c>
      <c r="O23" s="131">
        <f t="shared" si="7"/>
        <v>627.90000000000009</v>
      </c>
      <c r="P23" s="130">
        <f t="shared" si="6"/>
        <v>0.375</v>
      </c>
    </row>
    <row r="24" spans="1:16" hidden="1" x14ac:dyDescent="0.25">
      <c r="A24" s="114" t="s">
        <v>269</v>
      </c>
      <c r="B24" s="114" t="s">
        <v>271</v>
      </c>
      <c r="C24" s="114">
        <v>0</v>
      </c>
      <c r="D24" s="114">
        <v>25</v>
      </c>
      <c r="E24" s="1" t="s">
        <v>273</v>
      </c>
      <c r="F24" s="35">
        <v>0</v>
      </c>
      <c r="G24" s="35">
        <v>500</v>
      </c>
      <c r="H24" s="127">
        <v>500</v>
      </c>
      <c r="I24" s="138">
        <v>4.5</v>
      </c>
      <c r="J24" s="138">
        <v>1.5</v>
      </c>
      <c r="K24" s="136"/>
      <c r="L24" s="130">
        <f>+I24*J24</f>
        <v>6.75</v>
      </c>
      <c r="M24" s="28">
        <f>+L24*$M$1</f>
        <v>217.35000000000002</v>
      </c>
      <c r="N24" s="162">
        <f>+M24/H24</f>
        <v>0.43470000000000003</v>
      </c>
      <c r="O24" s="131">
        <f t="shared" si="7"/>
        <v>434.70000000000005</v>
      </c>
      <c r="P24" s="130">
        <f t="shared" si="6"/>
        <v>0.1875</v>
      </c>
    </row>
    <row r="25" spans="1:16" hidden="1" x14ac:dyDescent="0.25">
      <c r="A25" s="114" t="s">
        <v>269</v>
      </c>
      <c r="B25" s="114" t="s">
        <v>301</v>
      </c>
      <c r="C25" s="114">
        <v>0</v>
      </c>
      <c r="D25" s="114">
        <v>25</v>
      </c>
      <c r="E25" s="1" t="s">
        <v>18</v>
      </c>
      <c r="F25" s="35">
        <v>1001</v>
      </c>
      <c r="G25" s="35">
        <v>2500</v>
      </c>
      <c r="H25" s="127">
        <v>2500</v>
      </c>
      <c r="I25" s="138">
        <v>3.5</v>
      </c>
      <c r="J25" s="137"/>
      <c r="K25" s="138">
        <v>600</v>
      </c>
      <c r="L25" s="130">
        <f>I25*(H25/K25)</f>
        <v>14.583333333333334</v>
      </c>
      <c r="M25" s="28">
        <f>+L25*$M$1</f>
        <v>469.58333333333337</v>
      </c>
      <c r="N25" s="162">
        <f>+M25/H25</f>
        <v>0.18783333333333335</v>
      </c>
      <c r="O25" s="131">
        <f t="shared" si="7"/>
        <v>187.83333333333334</v>
      </c>
      <c r="P25" s="130">
        <f t="shared" si="6"/>
        <v>0</v>
      </c>
    </row>
    <row r="26" spans="1:16" hidden="1" x14ac:dyDescent="0.25">
      <c r="A26" s="114" t="s">
        <v>269</v>
      </c>
      <c r="B26" s="114" t="s">
        <v>271</v>
      </c>
      <c r="C26" s="114">
        <v>0</v>
      </c>
      <c r="D26" s="114">
        <v>25</v>
      </c>
      <c r="E26" s="1" t="s">
        <v>18</v>
      </c>
      <c r="F26" s="35">
        <v>1001</v>
      </c>
      <c r="G26" s="35">
        <v>2500</v>
      </c>
      <c r="H26" s="127">
        <v>2500</v>
      </c>
      <c r="I26" s="138">
        <v>4.5</v>
      </c>
      <c r="J26" s="137"/>
      <c r="K26" s="138">
        <v>425</v>
      </c>
      <c r="L26" s="130">
        <f>I26*(H26/K26)</f>
        <v>26.47058823529412</v>
      </c>
      <c r="M26" s="28">
        <f>+L26*$M$1</f>
        <v>852.35294117647072</v>
      </c>
      <c r="N26" s="162">
        <f>+M26/H26</f>
        <v>0.3409411764705883</v>
      </c>
      <c r="O26" s="131">
        <f t="shared" si="7"/>
        <v>340.94117647058829</v>
      </c>
      <c r="P26" s="130">
        <f t="shared" si="6"/>
        <v>0</v>
      </c>
    </row>
    <row r="27" spans="1:16" hidden="1" x14ac:dyDescent="0.25">
      <c r="A27" s="114" t="s">
        <v>269</v>
      </c>
      <c r="B27" s="114" t="s">
        <v>301</v>
      </c>
      <c r="C27" s="114">
        <v>0</v>
      </c>
      <c r="D27" s="114">
        <v>25</v>
      </c>
      <c r="E27" s="172" t="s">
        <v>256</v>
      </c>
      <c r="F27" s="35">
        <v>1001</v>
      </c>
      <c r="G27" s="35">
        <v>2500</v>
      </c>
      <c r="H27" s="127">
        <v>2500</v>
      </c>
      <c r="I27" s="140">
        <f>+I21+1</f>
        <v>4.5</v>
      </c>
      <c r="J27" s="137"/>
      <c r="K27" s="138">
        <v>600</v>
      </c>
      <c r="L27" s="130">
        <f>I27*(H27/K27)</f>
        <v>18.75</v>
      </c>
      <c r="M27" s="28">
        <f>+L27*$M$1</f>
        <v>603.75</v>
      </c>
      <c r="N27" s="162">
        <f>+M27/H27</f>
        <v>0.24149999999999999</v>
      </c>
      <c r="O27" s="131">
        <f t="shared" si="7"/>
        <v>241.5</v>
      </c>
      <c r="P27" s="130">
        <f t="shared" si="6"/>
        <v>0</v>
      </c>
    </row>
    <row r="28" spans="1:16" hidden="1" x14ac:dyDescent="0.25">
      <c r="A28" s="114" t="s">
        <v>269</v>
      </c>
      <c r="B28" s="114" t="s">
        <v>301</v>
      </c>
      <c r="C28" s="114">
        <v>0</v>
      </c>
      <c r="D28" s="114">
        <v>25</v>
      </c>
      <c r="E28" s="1" t="s">
        <v>18</v>
      </c>
      <c r="F28" s="35">
        <v>2501</v>
      </c>
      <c r="G28" s="35">
        <v>5000</v>
      </c>
      <c r="H28" s="127">
        <v>5000</v>
      </c>
      <c r="I28" s="138">
        <v>3.5</v>
      </c>
      <c r="J28" s="137"/>
      <c r="K28" s="138">
        <v>700</v>
      </c>
      <c r="L28" s="130">
        <f>I28*(H28/K28)</f>
        <v>25</v>
      </c>
      <c r="M28" s="28">
        <f>+L28*$M$1</f>
        <v>805.00000000000011</v>
      </c>
      <c r="N28" s="162">
        <f>+M28/H28</f>
        <v>0.16100000000000003</v>
      </c>
      <c r="O28" s="131">
        <f t="shared" si="7"/>
        <v>161.00000000000003</v>
      </c>
      <c r="P28" s="130">
        <f t="shared" si="6"/>
        <v>0</v>
      </c>
    </row>
    <row r="29" spans="1:16" hidden="1" x14ac:dyDescent="0.25">
      <c r="A29" s="114" t="s">
        <v>269</v>
      </c>
      <c r="B29" s="114" t="s">
        <v>271</v>
      </c>
      <c r="C29" s="114">
        <v>0</v>
      </c>
      <c r="D29" s="114">
        <v>25</v>
      </c>
      <c r="E29" s="1" t="s">
        <v>18</v>
      </c>
      <c r="F29" s="35">
        <v>2501</v>
      </c>
      <c r="G29" s="35">
        <v>5000</v>
      </c>
      <c r="H29" s="127">
        <v>5000</v>
      </c>
      <c r="I29" s="138">
        <v>4.5</v>
      </c>
      <c r="J29" s="137"/>
      <c r="K29" s="138">
        <v>450</v>
      </c>
      <c r="L29" s="130">
        <f>I29*(H29/K29)</f>
        <v>50</v>
      </c>
      <c r="M29" s="28">
        <f>+L29*$M$1</f>
        <v>1610.0000000000002</v>
      </c>
      <c r="N29" s="162">
        <f>+M29/H29</f>
        <v>0.32200000000000006</v>
      </c>
      <c r="O29" s="131">
        <f t="shared" si="7"/>
        <v>322.00000000000006</v>
      </c>
      <c r="P29" s="130">
        <f t="shared" si="6"/>
        <v>0</v>
      </c>
    </row>
    <row r="30" spans="1:16" hidden="1" x14ac:dyDescent="0.25">
      <c r="A30" s="114" t="s">
        <v>269</v>
      </c>
      <c r="B30" s="114" t="s">
        <v>301</v>
      </c>
      <c r="C30" s="114">
        <v>0</v>
      </c>
      <c r="D30" s="114">
        <v>25</v>
      </c>
      <c r="E30" s="172" t="s">
        <v>256</v>
      </c>
      <c r="F30" s="35">
        <v>2501</v>
      </c>
      <c r="G30" s="35">
        <v>5000</v>
      </c>
      <c r="H30" s="127">
        <v>5000</v>
      </c>
      <c r="I30" s="140">
        <f>+I24+1</f>
        <v>5.5</v>
      </c>
      <c r="J30" s="137"/>
      <c r="K30" s="138">
        <v>700</v>
      </c>
      <c r="L30" s="130">
        <f>I30*(H30/K30)</f>
        <v>39.285714285714285</v>
      </c>
      <c r="M30" s="28">
        <f>+L30*$M$1</f>
        <v>1265</v>
      </c>
      <c r="N30" s="162">
        <f>+M30/H30</f>
        <v>0.253</v>
      </c>
      <c r="O30" s="131">
        <f t="shared" si="7"/>
        <v>253</v>
      </c>
      <c r="P30" s="130">
        <f t="shared" si="6"/>
        <v>0</v>
      </c>
    </row>
    <row r="31" spans="1:16" hidden="1" x14ac:dyDescent="0.25">
      <c r="A31" s="114" t="s">
        <v>269</v>
      </c>
      <c r="B31" s="114" t="s">
        <v>271</v>
      </c>
      <c r="C31" s="114">
        <v>0</v>
      </c>
      <c r="D31" s="114">
        <v>25</v>
      </c>
      <c r="E31" s="1" t="s">
        <v>18</v>
      </c>
      <c r="F31" s="35">
        <v>5001</v>
      </c>
      <c r="G31" s="35">
        <v>10000</v>
      </c>
      <c r="H31" s="127">
        <v>10000</v>
      </c>
      <c r="I31" s="138">
        <v>4.5</v>
      </c>
      <c r="J31" s="137"/>
      <c r="K31" s="138">
        <v>500</v>
      </c>
      <c r="L31" s="130">
        <f>I31*(H31/K31)</f>
        <v>90</v>
      </c>
      <c r="M31" s="28">
        <f>+L31*$M$1</f>
        <v>2898.0000000000005</v>
      </c>
      <c r="N31" s="162">
        <f>+M31/H31</f>
        <v>0.28980000000000006</v>
      </c>
      <c r="O31" s="131">
        <f t="shared" si="7"/>
        <v>289.80000000000007</v>
      </c>
      <c r="P31" s="130">
        <f t="shared" si="6"/>
        <v>0</v>
      </c>
    </row>
    <row r="32" spans="1:16" hidden="1" x14ac:dyDescent="0.25">
      <c r="A32" s="114" t="s">
        <v>269</v>
      </c>
      <c r="B32" s="114" t="s">
        <v>301</v>
      </c>
      <c r="C32" s="114">
        <v>0</v>
      </c>
      <c r="D32" s="114">
        <v>25</v>
      </c>
      <c r="E32" s="1" t="s">
        <v>263</v>
      </c>
      <c r="F32" s="35">
        <v>501</v>
      </c>
      <c r="G32" s="35">
        <v>1000</v>
      </c>
      <c r="H32" s="127">
        <v>1000</v>
      </c>
      <c r="I32" s="138">
        <v>1.5</v>
      </c>
      <c r="J32" s="138">
        <v>1.5</v>
      </c>
      <c r="K32" s="136"/>
      <c r="L32" s="130">
        <f>+I32*J32</f>
        <v>2.25</v>
      </c>
      <c r="M32" s="28">
        <f>+L32*$M$1</f>
        <v>72.45</v>
      </c>
      <c r="N32" s="162">
        <f>+M32/H32</f>
        <v>7.2450000000000001E-2</v>
      </c>
      <c r="O32" s="131">
        <f t="shared" si="7"/>
        <v>72.45</v>
      </c>
      <c r="P32" s="130">
        <f t="shared" si="6"/>
        <v>0.1875</v>
      </c>
    </row>
    <row r="33" spans="1:16" hidden="1" x14ac:dyDescent="0.25">
      <c r="A33" s="114" t="s">
        <v>269</v>
      </c>
      <c r="B33" s="114" t="s">
        <v>301</v>
      </c>
      <c r="C33" s="114">
        <v>0</v>
      </c>
      <c r="D33" s="114">
        <v>25</v>
      </c>
      <c r="E33" s="1" t="s">
        <v>265</v>
      </c>
      <c r="F33" s="35">
        <v>501</v>
      </c>
      <c r="G33" s="35">
        <v>1000</v>
      </c>
      <c r="H33" s="127">
        <v>1000</v>
      </c>
      <c r="I33" s="138">
        <v>1.5</v>
      </c>
      <c r="J33" s="138">
        <v>2</v>
      </c>
      <c r="K33" s="136"/>
      <c r="L33" s="130">
        <f>+I33*J33</f>
        <v>3</v>
      </c>
      <c r="M33" s="28">
        <f>+L33*$M$1</f>
        <v>96.600000000000009</v>
      </c>
      <c r="N33" s="162">
        <f>+M33/H33</f>
        <v>9.6600000000000005E-2</v>
      </c>
      <c r="O33" s="131">
        <f t="shared" si="7"/>
        <v>96.600000000000009</v>
      </c>
      <c r="P33" s="130">
        <f t="shared" si="6"/>
        <v>0.25</v>
      </c>
    </row>
    <row r="34" spans="1:16" hidden="1" x14ac:dyDescent="0.25">
      <c r="A34" s="114" t="s">
        <v>269</v>
      </c>
      <c r="B34" s="114" t="s">
        <v>271</v>
      </c>
      <c r="C34" s="114">
        <v>0</v>
      </c>
      <c r="D34" s="114">
        <v>25</v>
      </c>
      <c r="E34" s="1" t="s">
        <v>263</v>
      </c>
      <c r="F34" s="35">
        <v>501</v>
      </c>
      <c r="G34" s="35">
        <v>1000</v>
      </c>
      <c r="H34" s="127">
        <v>1000</v>
      </c>
      <c r="I34" s="138">
        <v>1.5</v>
      </c>
      <c r="J34" s="138">
        <v>1.5</v>
      </c>
      <c r="K34" s="136"/>
      <c r="L34" s="130">
        <f>+I34*J34</f>
        <v>2.25</v>
      </c>
      <c r="M34" s="28">
        <f>+L34*$M$1</f>
        <v>72.45</v>
      </c>
      <c r="N34" s="162">
        <f>+M34/H34</f>
        <v>7.2450000000000001E-2</v>
      </c>
      <c r="O34" s="131">
        <f t="shared" si="7"/>
        <v>72.45</v>
      </c>
      <c r="P34" s="130">
        <f t="shared" si="6"/>
        <v>0.1875</v>
      </c>
    </row>
    <row r="35" spans="1:16" hidden="1" x14ac:dyDescent="0.25">
      <c r="A35" s="114" t="s">
        <v>269</v>
      </c>
      <c r="B35" s="114" t="s">
        <v>271</v>
      </c>
      <c r="C35" s="114">
        <v>0</v>
      </c>
      <c r="D35" s="114">
        <v>25</v>
      </c>
      <c r="E35" s="1" t="s">
        <v>265</v>
      </c>
      <c r="F35" s="35">
        <v>501</v>
      </c>
      <c r="G35" s="35">
        <v>1000</v>
      </c>
      <c r="H35" s="127">
        <v>1000</v>
      </c>
      <c r="I35" s="138">
        <v>1.5</v>
      </c>
      <c r="J35" s="138">
        <v>2.5</v>
      </c>
      <c r="K35" s="136"/>
      <c r="L35" s="130">
        <f>+I35*J35</f>
        <v>3.75</v>
      </c>
      <c r="M35" s="28">
        <f>+L35*$M$1</f>
        <v>120.75000000000001</v>
      </c>
      <c r="N35" s="162">
        <f>+M35/H35</f>
        <v>0.12075000000000001</v>
      </c>
      <c r="O35" s="131">
        <f t="shared" si="7"/>
        <v>120.75000000000001</v>
      </c>
      <c r="P35" s="130">
        <f t="shared" si="6"/>
        <v>0.3125</v>
      </c>
    </row>
    <row r="36" spans="1:16" hidden="1" x14ac:dyDescent="0.25">
      <c r="A36" s="114" t="s">
        <v>269</v>
      </c>
      <c r="B36" s="114" t="s">
        <v>301</v>
      </c>
      <c r="C36" s="114">
        <v>0</v>
      </c>
      <c r="D36" s="114">
        <v>25</v>
      </c>
      <c r="E36" s="1" t="s">
        <v>264</v>
      </c>
      <c r="F36" s="35">
        <v>501</v>
      </c>
      <c r="G36" s="35">
        <v>1000</v>
      </c>
      <c r="H36" s="127">
        <v>1000</v>
      </c>
      <c r="I36" s="138">
        <v>2.5</v>
      </c>
      <c r="J36" s="138">
        <v>1.5</v>
      </c>
      <c r="K36" s="136"/>
      <c r="L36" s="130">
        <f>+I36*J36</f>
        <v>3.75</v>
      </c>
      <c r="M36" s="28">
        <f>+L36*$M$1</f>
        <v>120.75000000000001</v>
      </c>
      <c r="N36" s="162">
        <f>+M36/H36</f>
        <v>0.12075000000000001</v>
      </c>
      <c r="O36" s="131">
        <f t="shared" si="7"/>
        <v>120.75000000000001</v>
      </c>
      <c r="P36" s="130">
        <f t="shared" si="6"/>
        <v>0.1875</v>
      </c>
    </row>
    <row r="37" spans="1:16" hidden="1" x14ac:dyDescent="0.25">
      <c r="A37" s="114" t="s">
        <v>269</v>
      </c>
      <c r="B37" s="114" t="s">
        <v>301</v>
      </c>
      <c r="C37" s="114">
        <v>0</v>
      </c>
      <c r="D37" s="114">
        <v>25</v>
      </c>
      <c r="E37" s="1" t="s">
        <v>266</v>
      </c>
      <c r="F37" s="35">
        <v>501</v>
      </c>
      <c r="G37" s="35">
        <v>1000</v>
      </c>
      <c r="H37" s="127">
        <v>1000</v>
      </c>
      <c r="I37" s="138">
        <v>2.5</v>
      </c>
      <c r="J37" s="138">
        <v>2</v>
      </c>
      <c r="K37" s="136"/>
      <c r="L37" s="130">
        <f>+I37*J37</f>
        <v>5</v>
      </c>
      <c r="M37" s="28">
        <f>+L37*$M$1</f>
        <v>161</v>
      </c>
      <c r="N37" s="162">
        <f>+M37/H37</f>
        <v>0.161</v>
      </c>
      <c r="O37" s="131">
        <f t="shared" ref="O37:O44" si="8">+N37*1000</f>
        <v>161</v>
      </c>
      <c r="P37" s="130">
        <f t="shared" si="6"/>
        <v>0.25</v>
      </c>
    </row>
    <row r="38" spans="1:16" x14ac:dyDescent="0.25">
      <c r="A38" s="114" t="s">
        <v>270</v>
      </c>
      <c r="B38" s="114" t="s">
        <v>301</v>
      </c>
      <c r="C38" s="114">
        <v>151</v>
      </c>
      <c r="D38" s="114">
        <v>300</v>
      </c>
      <c r="E38" s="1" t="s">
        <v>264</v>
      </c>
      <c r="F38" s="35">
        <v>0</v>
      </c>
      <c r="G38" s="35">
        <v>500</v>
      </c>
      <c r="H38" s="127">
        <v>500</v>
      </c>
      <c r="I38" s="138">
        <v>2.5</v>
      </c>
      <c r="J38" s="138">
        <v>1.5</v>
      </c>
      <c r="K38" s="136"/>
      <c r="L38" s="130">
        <f>+I38*J38</f>
        <v>3.75</v>
      </c>
      <c r="M38" s="28">
        <f>+L38*$M$1</f>
        <v>120.75000000000001</v>
      </c>
      <c r="N38" s="162">
        <f>+M38/H38</f>
        <v>0.24150000000000002</v>
      </c>
      <c r="O38" s="131">
        <f t="shared" si="8"/>
        <v>241.50000000000003</v>
      </c>
      <c r="P38" s="130">
        <f t="shared" si="6"/>
        <v>0.1875</v>
      </c>
    </row>
    <row r="39" spans="1:16" x14ac:dyDescent="0.25">
      <c r="A39" s="114" t="s">
        <v>270</v>
      </c>
      <c r="B39" s="114" t="s">
        <v>301</v>
      </c>
      <c r="C39" s="114">
        <v>301</v>
      </c>
      <c r="D39" s="114">
        <v>500</v>
      </c>
      <c r="E39" s="1" t="s">
        <v>264</v>
      </c>
      <c r="F39" s="35">
        <v>0</v>
      </c>
      <c r="G39" s="35">
        <v>500</v>
      </c>
      <c r="H39" s="127">
        <v>500</v>
      </c>
      <c r="I39" s="138">
        <v>2.5</v>
      </c>
      <c r="J39" s="138">
        <v>1.5</v>
      </c>
      <c r="K39" s="136"/>
      <c r="L39" s="130">
        <f>+I39*J39</f>
        <v>3.75</v>
      </c>
      <c r="M39" s="28">
        <f>+L39*$M$1</f>
        <v>120.75000000000001</v>
      </c>
      <c r="N39" s="162">
        <f>+M39/H39</f>
        <v>0.24150000000000002</v>
      </c>
      <c r="O39" s="131">
        <f t="shared" si="8"/>
        <v>241.50000000000003</v>
      </c>
      <c r="P39" s="130">
        <f t="shared" si="6"/>
        <v>0.1875</v>
      </c>
    </row>
    <row r="40" spans="1:16" x14ac:dyDescent="0.25">
      <c r="A40" s="114" t="s">
        <v>270</v>
      </c>
      <c r="B40" s="114" t="s">
        <v>301</v>
      </c>
      <c r="C40" s="114">
        <v>501</v>
      </c>
      <c r="D40" s="114">
        <v>1000</v>
      </c>
      <c r="E40" s="1" t="s">
        <v>264</v>
      </c>
      <c r="F40" s="35">
        <v>0</v>
      </c>
      <c r="G40" s="35">
        <v>500</v>
      </c>
      <c r="H40" s="127">
        <v>500</v>
      </c>
      <c r="I40" s="138">
        <v>2.5</v>
      </c>
      <c r="J40" s="138">
        <v>1.5</v>
      </c>
      <c r="K40" s="136"/>
      <c r="L40" s="130">
        <f>+I40*J40</f>
        <v>3.75</v>
      </c>
      <c r="M40" s="28">
        <f>+L40*$M$1</f>
        <v>120.75000000000001</v>
      </c>
      <c r="N40" s="162">
        <f>+M40/H40</f>
        <v>0.24150000000000002</v>
      </c>
      <c r="O40" s="131">
        <f t="shared" si="8"/>
        <v>241.50000000000003</v>
      </c>
      <c r="P40" s="130">
        <f t="shared" si="6"/>
        <v>0.1875</v>
      </c>
    </row>
    <row r="41" spans="1:16" hidden="1" x14ac:dyDescent="0.25">
      <c r="A41" s="114" t="s">
        <v>269</v>
      </c>
      <c r="B41" s="114" t="s">
        <v>271</v>
      </c>
      <c r="C41" s="114">
        <v>0</v>
      </c>
      <c r="D41" s="114">
        <v>25</v>
      </c>
      <c r="E41" s="1" t="s">
        <v>264</v>
      </c>
      <c r="F41" s="35">
        <v>501</v>
      </c>
      <c r="G41" s="35">
        <v>1000</v>
      </c>
      <c r="H41" s="127">
        <v>1000</v>
      </c>
      <c r="I41" s="138">
        <v>2.5</v>
      </c>
      <c r="J41" s="138">
        <v>1.5</v>
      </c>
      <c r="K41" s="136"/>
      <c r="L41" s="130">
        <f>+I41*J41</f>
        <v>3.75</v>
      </c>
      <c r="M41" s="28">
        <f>+L41*$M$1</f>
        <v>120.75000000000001</v>
      </c>
      <c r="N41" s="162">
        <f>+M41/H41</f>
        <v>0.12075000000000001</v>
      </c>
      <c r="O41" s="131">
        <f t="shared" si="8"/>
        <v>120.75000000000001</v>
      </c>
      <c r="P41" s="130">
        <f t="shared" si="6"/>
        <v>0.1875</v>
      </c>
    </row>
    <row r="42" spans="1:16" hidden="1" x14ac:dyDescent="0.25">
      <c r="A42" s="114" t="s">
        <v>269</v>
      </c>
      <c r="B42" s="114" t="s">
        <v>271</v>
      </c>
      <c r="C42" s="114">
        <v>0</v>
      </c>
      <c r="D42" s="114">
        <v>25</v>
      </c>
      <c r="E42" s="1" t="s">
        <v>266</v>
      </c>
      <c r="F42" s="35">
        <v>501</v>
      </c>
      <c r="G42" s="35">
        <v>1000</v>
      </c>
      <c r="H42" s="127">
        <v>1000</v>
      </c>
      <c r="I42" s="138">
        <v>2.5</v>
      </c>
      <c r="J42" s="138">
        <v>2.5</v>
      </c>
      <c r="K42" s="136"/>
      <c r="L42" s="130">
        <f>+I42*J42</f>
        <v>6.25</v>
      </c>
      <c r="M42" s="28">
        <f>+L42*$M$1</f>
        <v>201.25000000000003</v>
      </c>
      <c r="N42" s="162">
        <f>+M42/H42</f>
        <v>0.20125000000000004</v>
      </c>
      <c r="O42" s="131">
        <f t="shared" si="8"/>
        <v>201.25000000000003</v>
      </c>
      <c r="P42" s="130">
        <f t="shared" si="6"/>
        <v>0.3125</v>
      </c>
    </row>
    <row r="43" spans="1:16" hidden="1" x14ac:dyDescent="0.25">
      <c r="A43" s="114" t="s">
        <v>269</v>
      </c>
      <c r="B43" s="114" t="s">
        <v>301</v>
      </c>
      <c r="C43" s="114">
        <v>0</v>
      </c>
      <c r="D43" s="114">
        <v>25</v>
      </c>
      <c r="E43" s="1" t="s">
        <v>18</v>
      </c>
      <c r="F43" s="35">
        <v>5001</v>
      </c>
      <c r="G43" s="35">
        <v>15000</v>
      </c>
      <c r="H43" s="127">
        <v>15000</v>
      </c>
      <c r="I43" s="138">
        <v>3.5</v>
      </c>
      <c r="J43" s="137"/>
      <c r="K43" s="138">
        <v>800</v>
      </c>
      <c r="L43" s="130">
        <f>I43*(H43/K43)</f>
        <v>65.625</v>
      </c>
      <c r="M43" s="28">
        <f>+L43*$M$1</f>
        <v>2113.125</v>
      </c>
      <c r="N43" s="162">
        <f>+M43/H43</f>
        <v>0.140875</v>
      </c>
      <c r="O43" s="131">
        <f t="shared" si="8"/>
        <v>140.875</v>
      </c>
      <c r="P43" s="130">
        <f t="shared" si="6"/>
        <v>0</v>
      </c>
    </row>
    <row r="44" spans="1:16" hidden="1" x14ac:dyDescent="0.25">
      <c r="A44" s="114" t="s">
        <v>269</v>
      </c>
      <c r="B44" s="114" t="s">
        <v>301</v>
      </c>
      <c r="C44" s="114">
        <v>0</v>
      </c>
      <c r="D44" s="114">
        <v>25</v>
      </c>
      <c r="E44" s="1" t="s">
        <v>50</v>
      </c>
      <c r="F44" s="35">
        <v>501</v>
      </c>
      <c r="G44" s="35">
        <v>1000</v>
      </c>
      <c r="H44" s="127">
        <v>1000</v>
      </c>
      <c r="I44" s="138">
        <v>4.5</v>
      </c>
      <c r="J44" s="139">
        <v>3</v>
      </c>
      <c r="K44" s="136"/>
      <c r="L44" s="130">
        <f>+I44*J44</f>
        <v>13.5</v>
      </c>
      <c r="M44" s="28">
        <f>+L44*$M$1</f>
        <v>434.70000000000005</v>
      </c>
      <c r="N44" s="162">
        <f>+M44/H44</f>
        <v>0.43470000000000003</v>
      </c>
      <c r="O44" s="131">
        <f t="shared" si="8"/>
        <v>434.70000000000005</v>
      </c>
      <c r="P44" s="130">
        <f t="shared" si="6"/>
        <v>0.375</v>
      </c>
    </row>
    <row r="45" spans="1:16" hidden="1" x14ac:dyDescent="0.25">
      <c r="A45" s="114" t="s">
        <v>269</v>
      </c>
      <c r="B45" s="114" t="s">
        <v>301</v>
      </c>
      <c r="C45" s="114">
        <v>0</v>
      </c>
      <c r="D45" s="114">
        <v>25</v>
      </c>
      <c r="E45" s="1" t="s">
        <v>18</v>
      </c>
      <c r="F45" s="37">
        <v>15001</v>
      </c>
      <c r="G45" s="37">
        <v>999999</v>
      </c>
      <c r="H45" s="127">
        <v>15000</v>
      </c>
      <c r="I45" s="138">
        <v>4.5</v>
      </c>
      <c r="J45" s="137"/>
      <c r="K45" s="138">
        <v>1200</v>
      </c>
      <c r="L45" s="130">
        <f>I45*(H45/K45)</f>
        <v>56.25</v>
      </c>
      <c r="M45" s="28">
        <f>+L45*$M$1</f>
        <v>1811.2500000000002</v>
      </c>
      <c r="N45" s="162">
        <f>+M45/H45</f>
        <v>0.12075000000000001</v>
      </c>
      <c r="O45" s="131">
        <f>+N45*1000</f>
        <v>120.75000000000001</v>
      </c>
      <c r="P45" s="130">
        <f t="shared" si="6"/>
        <v>0</v>
      </c>
    </row>
    <row r="46" spans="1:16" hidden="1" x14ac:dyDescent="0.25">
      <c r="A46" s="114" t="s">
        <v>269</v>
      </c>
      <c r="B46" s="114" t="s">
        <v>301</v>
      </c>
      <c r="C46" s="114">
        <v>0</v>
      </c>
      <c r="D46" s="114">
        <v>25</v>
      </c>
      <c r="E46" s="1" t="s">
        <v>17</v>
      </c>
      <c r="F46" s="35">
        <v>501</v>
      </c>
      <c r="G46" s="35">
        <v>1000</v>
      </c>
      <c r="H46" s="127">
        <v>1000</v>
      </c>
      <c r="I46" s="138">
        <v>3.5</v>
      </c>
      <c r="J46" s="138">
        <v>1.5</v>
      </c>
      <c r="K46" s="136"/>
      <c r="L46" s="130">
        <f>+I46*J46</f>
        <v>5.25</v>
      </c>
      <c r="M46" s="28">
        <f>+L46*$M$1</f>
        <v>169.05</v>
      </c>
      <c r="N46" s="162">
        <f>+M46/H46</f>
        <v>0.16905000000000001</v>
      </c>
      <c r="O46" s="131">
        <f t="shared" ref="O46:O49" si="9">+N46*1000</f>
        <v>169.05</v>
      </c>
      <c r="P46" s="130">
        <f t="shared" si="6"/>
        <v>0.1875</v>
      </c>
    </row>
    <row r="47" spans="1:16" hidden="1" x14ac:dyDescent="0.25">
      <c r="A47" s="114" t="s">
        <v>269</v>
      </c>
      <c r="B47" s="114" t="s">
        <v>271</v>
      </c>
      <c r="C47" s="114">
        <v>0</v>
      </c>
      <c r="D47" s="114">
        <v>25</v>
      </c>
      <c r="E47" s="1" t="s">
        <v>277</v>
      </c>
      <c r="F47" s="35">
        <v>501</v>
      </c>
      <c r="G47" s="35">
        <v>1000</v>
      </c>
      <c r="H47" s="127">
        <v>1000</v>
      </c>
      <c r="I47" s="138">
        <v>3.5</v>
      </c>
      <c r="J47" s="138">
        <v>2</v>
      </c>
      <c r="K47" s="136"/>
      <c r="L47" s="130">
        <f>+I47*J47</f>
        <v>7</v>
      </c>
      <c r="M47" s="28">
        <f>+L47*$M$1</f>
        <v>225.40000000000003</v>
      </c>
      <c r="N47" s="162">
        <f>+M47/H47</f>
        <v>0.22540000000000004</v>
      </c>
      <c r="O47" s="131">
        <f>+N47*1000</f>
        <v>225.40000000000003</v>
      </c>
      <c r="P47" s="130">
        <f t="shared" si="6"/>
        <v>0.25</v>
      </c>
    </row>
    <row r="48" spans="1:16" hidden="1" x14ac:dyDescent="0.25">
      <c r="A48" s="114" t="s">
        <v>269</v>
      </c>
      <c r="B48" s="114" t="s">
        <v>271</v>
      </c>
      <c r="C48" s="114">
        <v>0</v>
      </c>
      <c r="D48" s="114">
        <v>25</v>
      </c>
      <c r="E48" s="1" t="s">
        <v>50</v>
      </c>
      <c r="F48" s="35">
        <v>501</v>
      </c>
      <c r="G48" s="35">
        <v>1000</v>
      </c>
      <c r="H48" s="127">
        <v>1000</v>
      </c>
      <c r="I48" s="138">
        <v>5.5</v>
      </c>
      <c r="J48" s="139">
        <v>3</v>
      </c>
      <c r="K48" s="136"/>
      <c r="L48" s="130">
        <f>+I48*J48</f>
        <v>16.5</v>
      </c>
      <c r="M48" s="28">
        <f>+L48*$M$1</f>
        <v>531.30000000000007</v>
      </c>
      <c r="N48" s="162">
        <f>+M48/H48</f>
        <v>0.53130000000000011</v>
      </c>
      <c r="O48" s="131">
        <f t="shared" si="9"/>
        <v>531.30000000000007</v>
      </c>
      <c r="P48" s="130">
        <f t="shared" si="6"/>
        <v>0.375</v>
      </c>
    </row>
    <row r="49" spans="1:16" hidden="1" x14ac:dyDescent="0.25">
      <c r="A49" s="114" t="s">
        <v>269</v>
      </c>
      <c r="B49" s="114" t="s">
        <v>301</v>
      </c>
      <c r="C49" s="114">
        <v>0</v>
      </c>
      <c r="D49" s="114">
        <v>25</v>
      </c>
      <c r="E49" s="172" t="s">
        <v>256</v>
      </c>
      <c r="F49" s="35">
        <v>5001</v>
      </c>
      <c r="G49" s="35">
        <v>15000</v>
      </c>
      <c r="H49" s="127">
        <v>15000</v>
      </c>
      <c r="I49" s="140">
        <f>+I43+1</f>
        <v>4.5</v>
      </c>
      <c r="J49" s="137"/>
      <c r="K49" s="138">
        <v>800</v>
      </c>
      <c r="L49" s="130">
        <f>I49*(H49/K49)</f>
        <v>84.375</v>
      </c>
      <c r="M49" s="28">
        <f>+L49*$M$1</f>
        <v>2716.8750000000005</v>
      </c>
      <c r="N49" s="162">
        <f>+M49/H49</f>
        <v>0.18112500000000004</v>
      </c>
      <c r="O49" s="131">
        <f t="shared" si="9"/>
        <v>181.12500000000003</v>
      </c>
      <c r="P49" s="130">
        <f t="shared" si="6"/>
        <v>0</v>
      </c>
    </row>
    <row r="50" spans="1:16" hidden="1" x14ac:dyDescent="0.25">
      <c r="A50" s="114" t="s">
        <v>269</v>
      </c>
      <c r="B50" s="114" t="s">
        <v>301</v>
      </c>
      <c r="C50" s="114">
        <v>0</v>
      </c>
      <c r="D50" s="114">
        <v>25</v>
      </c>
      <c r="E50" s="172" t="s">
        <v>256</v>
      </c>
      <c r="F50" s="37">
        <v>15001</v>
      </c>
      <c r="G50" s="37">
        <v>999999</v>
      </c>
      <c r="H50" s="127">
        <v>15000</v>
      </c>
      <c r="I50" s="140">
        <f>+I44+1</f>
        <v>5.5</v>
      </c>
      <c r="J50" s="137"/>
      <c r="K50" s="138">
        <v>1200</v>
      </c>
      <c r="L50" s="130">
        <f>I50*(H50/K50)</f>
        <v>68.75</v>
      </c>
      <c r="M50" s="28">
        <f>+L50*$M$1</f>
        <v>2213.75</v>
      </c>
      <c r="N50" s="162">
        <f>+M50/H50</f>
        <v>0.14758333333333334</v>
      </c>
      <c r="O50" s="131">
        <f t="shared" ref="O50:O79" si="10">+N50*1000</f>
        <v>147.58333333333334</v>
      </c>
      <c r="P50" s="130">
        <f t="shared" si="6"/>
        <v>0</v>
      </c>
    </row>
    <row r="51" spans="1:16" hidden="1" x14ac:dyDescent="0.25">
      <c r="A51" s="114" t="s">
        <v>269</v>
      </c>
      <c r="B51" s="114" t="s">
        <v>271</v>
      </c>
      <c r="C51" s="114">
        <v>0</v>
      </c>
      <c r="D51" s="114">
        <v>25</v>
      </c>
      <c r="E51" s="1" t="s">
        <v>18</v>
      </c>
      <c r="F51" s="35">
        <v>10001</v>
      </c>
      <c r="G51" s="35">
        <v>999999</v>
      </c>
      <c r="H51" s="127">
        <v>25000</v>
      </c>
      <c r="I51" s="138">
        <v>5.5</v>
      </c>
      <c r="J51" s="137"/>
      <c r="K51" s="138">
        <v>1200</v>
      </c>
      <c r="L51" s="130">
        <f>I51*(H51/K51)</f>
        <v>114.58333333333333</v>
      </c>
      <c r="M51" s="28">
        <f>+L51*$M$1</f>
        <v>3689.5833333333335</v>
      </c>
      <c r="N51" s="162">
        <f>+M51/H51</f>
        <v>0.14758333333333334</v>
      </c>
      <c r="O51" s="131">
        <f t="shared" si="10"/>
        <v>147.58333333333334</v>
      </c>
      <c r="P51" s="130">
        <f t="shared" si="6"/>
        <v>0</v>
      </c>
    </row>
    <row r="52" spans="1:16" hidden="1" x14ac:dyDescent="0.25">
      <c r="A52" s="114" t="s">
        <v>269</v>
      </c>
      <c r="B52" s="114" t="s">
        <v>271</v>
      </c>
      <c r="C52" s="114">
        <v>0</v>
      </c>
      <c r="D52" s="114">
        <v>25</v>
      </c>
      <c r="E52" s="1" t="s">
        <v>273</v>
      </c>
      <c r="F52" s="35">
        <v>501</v>
      </c>
      <c r="G52" s="35">
        <v>1000</v>
      </c>
      <c r="H52" s="127">
        <v>1000</v>
      </c>
      <c r="I52" s="138">
        <v>4.5</v>
      </c>
      <c r="J52" s="138">
        <v>2</v>
      </c>
      <c r="K52" s="136"/>
      <c r="L52" s="130">
        <f>+I52*J52</f>
        <v>9</v>
      </c>
      <c r="M52" s="28">
        <f>+L52*$M$1</f>
        <v>289.8</v>
      </c>
      <c r="N52" s="162">
        <f>+M52/H52</f>
        <v>0.2898</v>
      </c>
      <c r="O52" s="131">
        <f t="shared" si="10"/>
        <v>289.8</v>
      </c>
      <c r="P52" s="130">
        <f t="shared" si="6"/>
        <v>0.25</v>
      </c>
    </row>
    <row r="53" spans="1:16" hidden="1" x14ac:dyDescent="0.25">
      <c r="A53" s="114" t="s">
        <v>269</v>
      </c>
      <c r="B53" s="114" t="s">
        <v>301</v>
      </c>
      <c r="C53" s="114">
        <v>0</v>
      </c>
      <c r="D53" s="114">
        <v>25</v>
      </c>
      <c r="E53" s="1" t="s">
        <v>263</v>
      </c>
      <c r="F53" s="35">
        <v>1001</v>
      </c>
      <c r="G53" s="35">
        <v>2500</v>
      </c>
      <c r="H53" s="127">
        <v>2500</v>
      </c>
      <c r="I53" s="138">
        <v>1.5</v>
      </c>
      <c r="J53" s="137"/>
      <c r="K53" s="138">
        <v>800</v>
      </c>
      <c r="L53" s="130">
        <f>I53*(H53/K53)</f>
        <v>4.6875</v>
      </c>
      <c r="M53" s="28">
        <f>+L53*$M$1</f>
        <v>150.9375</v>
      </c>
      <c r="N53" s="162">
        <f>+M53/H53</f>
        <v>6.0374999999999998E-2</v>
      </c>
      <c r="O53" s="131">
        <f t="shared" si="10"/>
        <v>60.375</v>
      </c>
      <c r="P53" s="130">
        <f t="shared" si="6"/>
        <v>0</v>
      </c>
    </row>
    <row r="54" spans="1:16" x14ac:dyDescent="0.25">
      <c r="A54" s="114" t="s">
        <v>270</v>
      </c>
      <c r="B54" s="114" t="s">
        <v>301</v>
      </c>
      <c r="C54" s="114">
        <v>151</v>
      </c>
      <c r="D54" s="114">
        <v>300</v>
      </c>
      <c r="E54" s="1" t="s">
        <v>17</v>
      </c>
      <c r="F54" s="35">
        <v>0</v>
      </c>
      <c r="G54" s="35">
        <v>500</v>
      </c>
      <c r="H54" s="127">
        <v>500</v>
      </c>
      <c r="I54" s="138">
        <v>3.5</v>
      </c>
      <c r="J54" s="138">
        <v>1.5</v>
      </c>
      <c r="K54" s="136"/>
      <c r="L54" s="130">
        <f>+I54*J54</f>
        <v>5.25</v>
      </c>
      <c r="M54" s="28">
        <f>+L54*$M$1</f>
        <v>169.05</v>
      </c>
      <c r="N54" s="162">
        <f>+M54/H54</f>
        <v>0.33810000000000001</v>
      </c>
      <c r="O54" s="131">
        <f t="shared" si="10"/>
        <v>338.1</v>
      </c>
      <c r="P54" s="130">
        <f t="shared" si="6"/>
        <v>0.1875</v>
      </c>
    </row>
    <row r="55" spans="1:16" x14ac:dyDescent="0.25">
      <c r="A55" s="114" t="s">
        <v>270</v>
      </c>
      <c r="B55" s="114" t="s">
        <v>301</v>
      </c>
      <c r="C55" s="114">
        <v>301</v>
      </c>
      <c r="D55" s="114">
        <v>500</v>
      </c>
      <c r="E55" s="1" t="s">
        <v>17</v>
      </c>
      <c r="F55" s="35">
        <v>0</v>
      </c>
      <c r="G55" s="35">
        <v>500</v>
      </c>
      <c r="H55" s="127">
        <v>500</v>
      </c>
      <c r="I55" s="138">
        <v>3.5</v>
      </c>
      <c r="J55" s="138">
        <v>1.5</v>
      </c>
      <c r="K55" s="136"/>
      <c r="L55" s="130">
        <f>+I55*J55</f>
        <v>5.25</v>
      </c>
      <c r="M55" s="28">
        <f>+L55*$M$1</f>
        <v>169.05</v>
      </c>
      <c r="N55" s="162">
        <f>+M55/H55</f>
        <v>0.33810000000000001</v>
      </c>
      <c r="O55" s="131">
        <f t="shared" si="10"/>
        <v>338.1</v>
      </c>
      <c r="P55" s="130">
        <f t="shared" si="6"/>
        <v>0.1875</v>
      </c>
    </row>
    <row r="56" spans="1:16" x14ac:dyDescent="0.25">
      <c r="A56" s="114" t="s">
        <v>270</v>
      </c>
      <c r="B56" s="114" t="s">
        <v>301</v>
      </c>
      <c r="C56" s="114">
        <v>501</v>
      </c>
      <c r="D56" s="114">
        <v>1000</v>
      </c>
      <c r="E56" s="1" t="s">
        <v>17</v>
      </c>
      <c r="F56" s="35">
        <v>0</v>
      </c>
      <c r="G56" s="35">
        <v>500</v>
      </c>
      <c r="H56" s="127">
        <v>500</v>
      </c>
      <c r="I56" s="138">
        <v>3.5</v>
      </c>
      <c r="J56" s="138">
        <v>1.5</v>
      </c>
      <c r="K56" s="136"/>
      <c r="L56" s="130">
        <f>+I56*J56</f>
        <v>5.25</v>
      </c>
      <c r="M56" s="28">
        <f>+L56*$M$1</f>
        <v>169.05</v>
      </c>
      <c r="N56" s="162">
        <f>+M56/H56</f>
        <v>0.33810000000000001</v>
      </c>
      <c r="O56" s="131">
        <f t="shared" si="10"/>
        <v>338.1</v>
      </c>
      <c r="P56" s="130">
        <f t="shared" si="6"/>
        <v>0.1875</v>
      </c>
    </row>
    <row r="57" spans="1:16" hidden="1" x14ac:dyDescent="0.25">
      <c r="A57" s="114" t="s">
        <v>269</v>
      </c>
      <c r="B57" s="114" t="s">
        <v>301</v>
      </c>
      <c r="C57" s="114">
        <v>0</v>
      </c>
      <c r="D57" s="114">
        <v>25</v>
      </c>
      <c r="E57" s="1" t="s">
        <v>265</v>
      </c>
      <c r="F57" s="35">
        <v>1001</v>
      </c>
      <c r="G57" s="35">
        <v>2500</v>
      </c>
      <c r="H57" s="127">
        <v>2500</v>
      </c>
      <c r="I57" s="138">
        <v>1.5</v>
      </c>
      <c r="J57" s="137"/>
      <c r="K57" s="138">
        <v>600</v>
      </c>
      <c r="L57" s="130">
        <f>I57*(H57/K57)</f>
        <v>6.25</v>
      </c>
      <c r="M57" s="28">
        <f>+L57*$M$1</f>
        <v>201.25000000000003</v>
      </c>
      <c r="N57" s="162">
        <f>+M57/H57</f>
        <v>8.0500000000000016E-2</v>
      </c>
      <c r="O57" s="131">
        <f t="shared" si="10"/>
        <v>80.500000000000014</v>
      </c>
      <c r="P57" s="130">
        <f t="shared" si="6"/>
        <v>0</v>
      </c>
    </row>
    <row r="58" spans="1:16" hidden="1" x14ac:dyDescent="0.25">
      <c r="A58" s="114" t="s">
        <v>269</v>
      </c>
      <c r="B58" s="114" t="s">
        <v>271</v>
      </c>
      <c r="C58" s="114">
        <v>0</v>
      </c>
      <c r="D58" s="114">
        <v>25</v>
      </c>
      <c r="E58" s="1" t="s">
        <v>263</v>
      </c>
      <c r="F58" s="35">
        <v>1001</v>
      </c>
      <c r="G58" s="35">
        <v>2500</v>
      </c>
      <c r="H58" s="127">
        <v>2500</v>
      </c>
      <c r="I58" s="138">
        <v>1.5</v>
      </c>
      <c r="J58" s="137"/>
      <c r="K58" s="138">
        <v>800</v>
      </c>
      <c r="L58" s="130">
        <f>I58*(H58/K58)</f>
        <v>4.6875</v>
      </c>
      <c r="M58" s="28">
        <f>+L58*$M$1</f>
        <v>150.9375</v>
      </c>
      <c r="N58" s="162">
        <f>+M58/H58</f>
        <v>6.0374999999999998E-2</v>
      </c>
      <c r="O58" s="131">
        <f t="shared" si="10"/>
        <v>60.375</v>
      </c>
      <c r="P58" s="130">
        <f t="shared" si="6"/>
        <v>0</v>
      </c>
    </row>
    <row r="59" spans="1:16" hidden="1" x14ac:dyDescent="0.25">
      <c r="A59" s="114" t="s">
        <v>269</v>
      </c>
      <c r="B59" s="114" t="s">
        <v>271</v>
      </c>
      <c r="C59" s="114">
        <v>0</v>
      </c>
      <c r="D59" s="114">
        <v>25</v>
      </c>
      <c r="E59" s="1" t="s">
        <v>265</v>
      </c>
      <c r="F59" s="35">
        <v>1001</v>
      </c>
      <c r="G59" s="35">
        <v>2500</v>
      </c>
      <c r="H59" s="127">
        <v>2500</v>
      </c>
      <c r="I59" s="138">
        <v>1.5</v>
      </c>
      <c r="J59" s="137"/>
      <c r="K59" s="138">
        <v>600</v>
      </c>
      <c r="L59" s="130">
        <f>I59*(H59/K59)</f>
        <v>6.25</v>
      </c>
      <c r="M59" s="28">
        <f>+L59*$M$1</f>
        <v>201.25000000000003</v>
      </c>
      <c r="N59" s="162">
        <f>+M59/H59</f>
        <v>8.0500000000000016E-2</v>
      </c>
      <c r="O59" s="131">
        <f t="shared" si="10"/>
        <v>80.500000000000014</v>
      </c>
      <c r="P59" s="130">
        <f t="shared" si="6"/>
        <v>0</v>
      </c>
    </row>
    <row r="60" spans="1:16" hidden="1" x14ac:dyDescent="0.25">
      <c r="A60" s="114" t="s">
        <v>269</v>
      </c>
      <c r="B60" s="114" t="s">
        <v>301</v>
      </c>
      <c r="C60" s="114">
        <v>0</v>
      </c>
      <c r="D60" s="114">
        <v>25</v>
      </c>
      <c r="E60" s="1" t="s">
        <v>264</v>
      </c>
      <c r="F60" s="35">
        <v>1001</v>
      </c>
      <c r="G60" s="35">
        <v>2500</v>
      </c>
      <c r="H60" s="127">
        <v>2500</v>
      </c>
      <c r="I60" s="138">
        <v>2.5</v>
      </c>
      <c r="J60" s="137"/>
      <c r="K60" s="138">
        <v>800</v>
      </c>
      <c r="L60" s="130">
        <f>I60*(H60/K60)</f>
        <v>7.8125</v>
      </c>
      <c r="M60" s="28">
        <f>+L60*$M$1</f>
        <v>251.56250000000003</v>
      </c>
      <c r="N60" s="162">
        <f>+M60/H60</f>
        <v>0.10062500000000001</v>
      </c>
      <c r="O60" s="131">
        <f t="shared" si="10"/>
        <v>100.625</v>
      </c>
      <c r="P60" s="130">
        <f t="shared" si="6"/>
        <v>0</v>
      </c>
    </row>
    <row r="61" spans="1:16" hidden="1" x14ac:dyDescent="0.25">
      <c r="A61" s="114" t="s">
        <v>269</v>
      </c>
      <c r="B61" s="114" t="s">
        <v>301</v>
      </c>
      <c r="C61" s="114">
        <v>0</v>
      </c>
      <c r="D61" s="114">
        <v>25</v>
      </c>
      <c r="E61" s="1" t="s">
        <v>266</v>
      </c>
      <c r="F61" s="35">
        <v>1001</v>
      </c>
      <c r="G61" s="35">
        <v>2500</v>
      </c>
      <c r="H61" s="127">
        <v>2500</v>
      </c>
      <c r="I61" s="138">
        <v>2.5</v>
      </c>
      <c r="J61" s="137"/>
      <c r="K61" s="138">
        <v>600</v>
      </c>
      <c r="L61" s="130">
        <f>I61*(H61/K61)</f>
        <v>10.416666666666668</v>
      </c>
      <c r="M61" s="28">
        <f>+L61*$M$1</f>
        <v>335.41666666666674</v>
      </c>
      <c r="N61" s="162">
        <f>+M61/H61</f>
        <v>0.13416666666666668</v>
      </c>
      <c r="O61" s="131">
        <f t="shared" si="10"/>
        <v>134.16666666666669</v>
      </c>
      <c r="P61" s="130">
        <f t="shared" si="6"/>
        <v>0</v>
      </c>
    </row>
    <row r="62" spans="1:16" hidden="1" x14ac:dyDescent="0.25">
      <c r="A62" s="114" t="s">
        <v>269</v>
      </c>
      <c r="B62" s="114" t="s">
        <v>271</v>
      </c>
      <c r="C62" s="114">
        <v>0</v>
      </c>
      <c r="D62" s="114">
        <v>25</v>
      </c>
      <c r="E62" s="1" t="s">
        <v>264</v>
      </c>
      <c r="F62" s="35">
        <v>1001</v>
      </c>
      <c r="G62" s="35">
        <v>2500</v>
      </c>
      <c r="H62" s="127">
        <v>2500</v>
      </c>
      <c r="I62" s="138">
        <v>2.5</v>
      </c>
      <c r="J62" s="137"/>
      <c r="K62" s="138">
        <v>800</v>
      </c>
      <c r="L62" s="130">
        <f>I62*(H62/K62)</f>
        <v>7.8125</v>
      </c>
      <c r="M62" s="28">
        <f>+L62*$M$1</f>
        <v>251.56250000000003</v>
      </c>
      <c r="N62" s="162">
        <f>+M62/H62</f>
        <v>0.10062500000000001</v>
      </c>
      <c r="O62" s="131">
        <f t="shared" si="10"/>
        <v>100.625</v>
      </c>
      <c r="P62" s="130">
        <f t="shared" si="6"/>
        <v>0</v>
      </c>
    </row>
    <row r="63" spans="1:16" hidden="1" x14ac:dyDescent="0.25">
      <c r="A63" s="114" t="s">
        <v>269</v>
      </c>
      <c r="B63" s="114" t="s">
        <v>271</v>
      </c>
      <c r="C63" s="114">
        <v>0</v>
      </c>
      <c r="D63" s="114">
        <v>25</v>
      </c>
      <c r="E63" s="1" t="s">
        <v>266</v>
      </c>
      <c r="F63" s="35">
        <v>1001</v>
      </c>
      <c r="G63" s="35">
        <v>2500</v>
      </c>
      <c r="H63" s="127">
        <v>2500</v>
      </c>
      <c r="I63" s="138">
        <v>2.5</v>
      </c>
      <c r="J63" s="137"/>
      <c r="K63" s="138">
        <v>600</v>
      </c>
      <c r="L63" s="130">
        <f>I63*(H63/K63)</f>
        <v>10.416666666666668</v>
      </c>
      <c r="M63" s="28">
        <f>+L63*$M$1</f>
        <v>335.41666666666674</v>
      </c>
      <c r="N63" s="162">
        <f>+M63/H63</f>
        <v>0.13416666666666668</v>
      </c>
      <c r="O63" s="131">
        <f t="shared" si="10"/>
        <v>134.16666666666669</v>
      </c>
      <c r="P63" s="130">
        <f t="shared" si="6"/>
        <v>0</v>
      </c>
    </row>
    <row r="64" spans="1:16" hidden="1" x14ac:dyDescent="0.25">
      <c r="A64" s="114" t="s">
        <v>269</v>
      </c>
      <c r="B64" s="114" t="s">
        <v>301</v>
      </c>
      <c r="C64" s="114">
        <v>0</v>
      </c>
      <c r="D64" s="114">
        <v>25</v>
      </c>
      <c r="E64" s="1" t="s">
        <v>50</v>
      </c>
      <c r="F64" s="35">
        <v>1001</v>
      </c>
      <c r="G64" s="35">
        <v>2500</v>
      </c>
      <c r="H64" s="127">
        <v>2500</v>
      </c>
      <c r="I64" s="138">
        <v>4.5</v>
      </c>
      <c r="J64" s="137"/>
      <c r="K64" s="138">
        <v>600</v>
      </c>
      <c r="L64" s="130">
        <f>I64*(H64/K64)</f>
        <v>18.75</v>
      </c>
      <c r="M64" s="28">
        <f>+L64*$M$1</f>
        <v>603.75</v>
      </c>
      <c r="N64" s="162">
        <f>+M64/H64</f>
        <v>0.24149999999999999</v>
      </c>
      <c r="O64" s="131">
        <f t="shared" si="10"/>
        <v>241.5</v>
      </c>
      <c r="P64" s="130">
        <f t="shared" si="6"/>
        <v>0</v>
      </c>
    </row>
    <row r="65" spans="1:16" hidden="1" x14ac:dyDescent="0.25">
      <c r="A65" s="114" t="s">
        <v>269</v>
      </c>
      <c r="B65" s="114" t="s">
        <v>301</v>
      </c>
      <c r="C65" s="114">
        <v>0</v>
      </c>
      <c r="D65" s="114">
        <v>25</v>
      </c>
      <c r="E65" s="1" t="s">
        <v>17</v>
      </c>
      <c r="F65" s="35">
        <v>1001</v>
      </c>
      <c r="G65" s="35">
        <v>2500</v>
      </c>
      <c r="H65" s="127">
        <v>2500</v>
      </c>
      <c r="I65" s="138">
        <v>3.5</v>
      </c>
      <c r="J65" s="137"/>
      <c r="K65" s="138">
        <v>700</v>
      </c>
      <c r="L65" s="130">
        <f>I65*(H65/K65)</f>
        <v>12.5</v>
      </c>
      <c r="M65" s="28">
        <f>+L65*$M$1</f>
        <v>402.50000000000006</v>
      </c>
      <c r="N65" s="162">
        <f>+M65/H65</f>
        <v>0.16100000000000003</v>
      </c>
      <c r="O65" s="131">
        <f t="shared" si="10"/>
        <v>161.00000000000003</v>
      </c>
      <c r="P65" s="130">
        <f t="shared" si="6"/>
        <v>0</v>
      </c>
    </row>
    <row r="66" spans="1:16" hidden="1" x14ac:dyDescent="0.25">
      <c r="A66" s="114" t="s">
        <v>269</v>
      </c>
      <c r="B66" s="114" t="s">
        <v>271</v>
      </c>
      <c r="C66" s="114">
        <v>0</v>
      </c>
      <c r="D66" s="114">
        <v>25</v>
      </c>
      <c r="E66" s="1" t="s">
        <v>277</v>
      </c>
      <c r="F66" s="35">
        <v>1001</v>
      </c>
      <c r="G66" s="35">
        <v>2500</v>
      </c>
      <c r="H66" s="127">
        <v>2500</v>
      </c>
      <c r="I66" s="138">
        <v>3.5</v>
      </c>
      <c r="J66" s="137"/>
      <c r="K66" s="138">
        <v>550</v>
      </c>
      <c r="L66" s="130">
        <f>I66*(H66/K66)</f>
        <v>15.90909090909091</v>
      </c>
      <c r="M66" s="28">
        <f>+L66*$M$1</f>
        <v>512.27272727272737</v>
      </c>
      <c r="N66" s="162">
        <f>+M66/H66</f>
        <v>0.20490909090909096</v>
      </c>
      <c r="O66" s="131">
        <f t="shared" si="10"/>
        <v>204.90909090909096</v>
      </c>
      <c r="P66" s="130">
        <f t="shared" si="6"/>
        <v>0</v>
      </c>
    </row>
    <row r="67" spans="1:16" hidden="1" x14ac:dyDescent="0.25">
      <c r="A67" s="114" t="s">
        <v>269</v>
      </c>
      <c r="B67" s="114" t="s">
        <v>271</v>
      </c>
      <c r="C67" s="114">
        <v>0</v>
      </c>
      <c r="D67" s="114">
        <v>25</v>
      </c>
      <c r="E67" s="1" t="s">
        <v>50</v>
      </c>
      <c r="F67" s="35">
        <v>1001</v>
      </c>
      <c r="G67" s="35">
        <v>2500</v>
      </c>
      <c r="H67" s="127">
        <v>2500</v>
      </c>
      <c r="I67" s="138">
        <v>5.5</v>
      </c>
      <c r="J67" s="137"/>
      <c r="K67" s="138">
        <v>425</v>
      </c>
      <c r="L67" s="130">
        <f>I67*(H67/K67)</f>
        <v>32.352941176470594</v>
      </c>
      <c r="M67" s="28">
        <f>+L67*$M$1</f>
        <v>1041.7647058823532</v>
      </c>
      <c r="N67" s="162">
        <f>+M67/H67</f>
        <v>0.41670588235294126</v>
      </c>
      <c r="O67" s="131">
        <f t="shared" si="10"/>
        <v>416.70588235294127</v>
      </c>
      <c r="P67" s="130">
        <f t="shared" si="6"/>
        <v>0</v>
      </c>
    </row>
    <row r="68" spans="1:16" hidden="1" x14ac:dyDescent="0.25">
      <c r="A68" s="114" t="s">
        <v>269</v>
      </c>
      <c r="B68" s="114" t="s">
        <v>271</v>
      </c>
      <c r="C68" s="114">
        <v>0</v>
      </c>
      <c r="D68" s="114">
        <v>25</v>
      </c>
      <c r="E68" s="1" t="s">
        <v>273</v>
      </c>
      <c r="F68" s="35">
        <v>1001</v>
      </c>
      <c r="G68" s="35">
        <v>2500</v>
      </c>
      <c r="H68" s="127">
        <v>2500</v>
      </c>
      <c r="I68" s="138">
        <v>4.5</v>
      </c>
      <c r="J68" s="137"/>
      <c r="K68" s="138">
        <v>550</v>
      </c>
      <c r="L68" s="130">
        <f>I68*(H68/K68)</f>
        <v>20.454545454545457</v>
      </c>
      <c r="M68" s="28">
        <f>+L68*$M$1</f>
        <v>658.63636363636374</v>
      </c>
      <c r="N68" s="162">
        <f>+M68/H68</f>
        <v>0.2634545454545455</v>
      </c>
      <c r="O68" s="131">
        <f t="shared" si="10"/>
        <v>263.4545454545455</v>
      </c>
      <c r="P68" s="130">
        <f t="shared" si="6"/>
        <v>0</v>
      </c>
    </row>
    <row r="69" spans="1:16" hidden="1" x14ac:dyDescent="0.25">
      <c r="A69" s="114" t="s">
        <v>269</v>
      </c>
      <c r="B69" s="114" t="s">
        <v>301</v>
      </c>
      <c r="C69" s="114">
        <v>0</v>
      </c>
      <c r="D69" s="114">
        <v>25</v>
      </c>
      <c r="E69" s="1" t="s">
        <v>263</v>
      </c>
      <c r="F69" s="35">
        <v>2501</v>
      </c>
      <c r="G69" s="35">
        <v>5000</v>
      </c>
      <c r="H69" s="127">
        <v>5000</v>
      </c>
      <c r="I69" s="138">
        <v>1.5</v>
      </c>
      <c r="J69" s="137"/>
      <c r="K69" s="138">
        <v>900</v>
      </c>
      <c r="L69" s="130">
        <f>I69*(H69/K69)</f>
        <v>8.3333333333333321</v>
      </c>
      <c r="M69" s="28">
        <f>+L69*$M$1</f>
        <v>268.33333333333331</v>
      </c>
      <c r="N69" s="162">
        <f>+M69/H69</f>
        <v>5.3666666666666661E-2</v>
      </c>
      <c r="O69" s="131">
        <f t="shared" si="10"/>
        <v>53.666666666666664</v>
      </c>
      <c r="P69" s="130">
        <f t="shared" si="6"/>
        <v>0</v>
      </c>
    </row>
    <row r="70" spans="1:16" hidden="1" x14ac:dyDescent="0.25">
      <c r="A70" s="114" t="s">
        <v>269</v>
      </c>
      <c r="B70" s="114" t="s">
        <v>301</v>
      </c>
      <c r="C70" s="114">
        <v>0</v>
      </c>
      <c r="D70" s="114">
        <v>25</v>
      </c>
      <c r="E70" s="1" t="s">
        <v>265</v>
      </c>
      <c r="F70" s="35">
        <v>2501</v>
      </c>
      <c r="G70" s="35">
        <v>5000</v>
      </c>
      <c r="H70" s="127">
        <v>5000</v>
      </c>
      <c r="I70" s="138">
        <v>1.5</v>
      </c>
      <c r="J70" s="137"/>
      <c r="K70" s="138">
        <v>700</v>
      </c>
      <c r="L70" s="130">
        <f>I70*(H70/K70)</f>
        <v>10.714285714285715</v>
      </c>
      <c r="M70" s="28">
        <f>+L70*$M$1</f>
        <v>345.00000000000006</v>
      </c>
      <c r="N70" s="162">
        <f>+M70/H70</f>
        <v>6.9000000000000006E-2</v>
      </c>
      <c r="O70" s="131">
        <f t="shared" si="10"/>
        <v>69</v>
      </c>
      <c r="P70" s="130">
        <f t="shared" si="6"/>
        <v>0</v>
      </c>
    </row>
    <row r="71" spans="1:16" hidden="1" x14ac:dyDescent="0.25">
      <c r="A71" s="114" t="s">
        <v>269</v>
      </c>
      <c r="B71" s="114" t="s">
        <v>271</v>
      </c>
      <c r="C71" s="114">
        <v>0</v>
      </c>
      <c r="D71" s="114">
        <v>25</v>
      </c>
      <c r="E71" s="1" t="s">
        <v>263</v>
      </c>
      <c r="F71" s="35">
        <v>2501</v>
      </c>
      <c r="G71" s="35">
        <v>5000</v>
      </c>
      <c r="H71" s="127">
        <v>5000</v>
      </c>
      <c r="I71" s="138">
        <v>1.5</v>
      </c>
      <c r="J71" s="137"/>
      <c r="K71" s="138">
        <v>900</v>
      </c>
      <c r="L71" s="130">
        <f>I71*(H71/K71)</f>
        <v>8.3333333333333321</v>
      </c>
      <c r="M71" s="28">
        <f>+L71*$M$1</f>
        <v>268.33333333333331</v>
      </c>
      <c r="N71" s="162">
        <f>+M71/H71</f>
        <v>5.3666666666666661E-2</v>
      </c>
      <c r="O71" s="131">
        <f t="shared" si="10"/>
        <v>53.666666666666664</v>
      </c>
      <c r="P71" s="130">
        <f t="shared" si="6"/>
        <v>0</v>
      </c>
    </row>
    <row r="72" spans="1:16" hidden="1" x14ac:dyDescent="0.25">
      <c r="A72" s="114" t="s">
        <v>269</v>
      </c>
      <c r="B72" s="114" t="s">
        <v>271</v>
      </c>
      <c r="C72" s="114">
        <v>0</v>
      </c>
      <c r="D72" s="114">
        <v>25</v>
      </c>
      <c r="E72" s="1" t="s">
        <v>265</v>
      </c>
      <c r="F72" s="35">
        <v>2501</v>
      </c>
      <c r="G72" s="35">
        <v>5000</v>
      </c>
      <c r="H72" s="127">
        <v>5000</v>
      </c>
      <c r="I72" s="138">
        <v>1.5</v>
      </c>
      <c r="J72" s="137"/>
      <c r="K72" s="138">
        <v>700</v>
      </c>
      <c r="L72" s="130">
        <f>I72*(H72/K72)</f>
        <v>10.714285714285715</v>
      </c>
      <c r="M72" s="28">
        <f>+L72*$M$1</f>
        <v>345.00000000000006</v>
      </c>
      <c r="N72" s="162">
        <f>+M72/H72</f>
        <v>6.9000000000000006E-2</v>
      </c>
      <c r="O72" s="131">
        <f t="shared" si="10"/>
        <v>69</v>
      </c>
      <c r="P72" s="130">
        <f t="shared" si="6"/>
        <v>0</v>
      </c>
    </row>
    <row r="73" spans="1:16" hidden="1" x14ac:dyDescent="0.25">
      <c r="A73" s="114" t="s">
        <v>269</v>
      </c>
      <c r="B73" s="114" t="s">
        <v>301</v>
      </c>
      <c r="C73" s="114">
        <v>0</v>
      </c>
      <c r="D73" s="114">
        <v>25</v>
      </c>
      <c r="E73" s="1" t="s">
        <v>264</v>
      </c>
      <c r="F73" s="35">
        <v>2501</v>
      </c>
      <c r="G73" s="35">
        <v>5000</v>
      </c>
      <c r="H73" s="127">
        <v>5000</v>
      </c>
      <c r="I73" s="138">
        <v>2.5</v>
      </c>
      <c r="J73" s="137"/>
      <c r="K73" s="138">
        <v>900</v>
      </c>
      <c r="L73" s="130">
        <f>I73*(H73/K73)</f>
        <v>13.888888888888889</v>
      </c>
      <c r="M73" s="28">
        <f>+L73*$M$1</f>
        <v>447.22222222222229</v>
      </c>
      <c r="N73" s="162">
        <f>+M73/H73</f>
        <v>8.9444444444444451E-2</v>
      </c>
      <c r="O73" s="131">
        <f t="shared" si="10"/>
        <v>89.444444444444457</v>
      </c>
      <c r="P73" s="130">
        <f t="shared" si="6"/>
        <v>0</v>
      </c>
    </row>
    <row r="74" spans="1:16" hidden="1" x14ac:dyDescent="0.25">
      <c r="A74" s="114" t="s">
        <v>269</v>
      </c>
      <c r="B74" s="114" t="s">
        <v>301</v>
      </c>
      <c r="C74" s="114">
        <v>0</v>
      </c>
      <c r="D74" s="114">
        <v>25</v>
      </c>
      <c r="E74" s="1" t="s">
        <v>266</v>
      </c>
      <c r="F74" s="35">
        <v>2501</v>
      </c>
      <c r="G74" s="35">
        <v>5000</v>
      </c>
      <c r="H74" s="127">
        <v>5000</v>
      </c>
      <c r="I74" s="138">
        <v>2.5</v>
      </c>
      <c r="J74" s="137"/>
      <c r="K74" s="138">
        <v>700</v>
      </c>
      <c r="L74" s="130">
        <f>I74*(H74/K74)</f>
        <v>17.857142857142858</v>
      </c>
      <c r="M74" s="28">
        <f>+L74*$M$1</f>
        <v>575.00000000000011</v>
      </c>
      <c r="N74" s="162">
        <f>+M74/H74</f>
        <v>0.11500000000000002</v>
      </c>
      <c r="O74" s="131">
        <f t="shared" si="10"/>
        <v>115.00000000000001</v>
      </c>
      <c r="P74" s="130">
        <f t="shared" si="6"/>
        <v>0</v>
      </c>
    </row>
    <row r="75" spans="1:16" hidden="1" x14ac:dyDescent="0.25">
      <c r="A75" s="114" t="s">
        <v>269</v>
      </c>
      <c r="B75" s="114" t="s">
        <v>271</v>
      </c>
      <c r="C75" s="114">
        <v>0</v>
      </c>
      <c r="D75" s="114">
        <v>25</v>
      </c>
      <c r="E75" s="1" t="s">
        <v>264</v>
      </c>
      <c r="F75" s="35">
        <v>2501</v>
      </c>
      <c r="G75" s="35">
        <v>5000</v>
      </c>
      <c r="H75" s="127">
        <v>5000</v>
      </c>
      <c r="I75" s="138">
        <v>2.5</v>
      </c>
      <c r="J75" s="137"/>
      <c r="K75" s="138">
        <v>900</v>
      </c>
      <c r="L75" s="130">
        <f>I75*(H75/K75)</f>
        <v>13.888888888888889</v>
      </c>
      <c r="M75" s="28">
        <f>+L75*$M$1</f>
        <v>447.22222222222229</v>
      </c>
      <c r="N75" s="162">
        <f>+M75/H75</f>
        <v>8.9444444444444451E-2</v>
      </c>
      <c r="O75" s="131">
        <f t="shared" si="10"/>
        <v>89.444444444444457</v>
      </c>
      <c r="P75" s="130">
        <f t="shared" si="6"/>
        <v>0</v>
      </c>
    </row>
    <row r="76" spans="1:16" x14ac:dyDescent="0.25">
      <c r="A76" s="114" t="s">
        <v>270</v>
      </c>
      <c r="B76" s="114" t="s">
        <v>301</v>
      </c>
      <c r="C76" s="114">
        <v>151</v>
      </c>
      <c r="D76" s="114">
        <v>300</v>
      </c>
      <c r="E76" s="1" t="s">
        <v>50</v>
      </c>
      <c r="F76" s="35">
        <v>0</v>
      </c>
      <c r="G76" s="35">
        <v>500</v>
      </c>
      <c r="H76" s="127">
        <v>500</v>
      </c>
      <c r="I76" s="138">
        <v>4.5</v>
      </c>
      <c r="J76" s="138">
        <v>2.5</v>
      </c>
      <c r="K76" s="136"/>
      <c r="L76" s="130">
        <f>+I76*J76</f>
        <v>11.25</v>
      </c>
      <c r="M76" s="28">
        <f>+L76*$M$1</f>
        <v>362.25000000000006</v>
      </c>
      <c r="N76" s="162">
        <f>+M76/H76</f>
        <v>0.72450000000000014</v>
      </c>
      <c r="O76" s="131">
        <f t="shared" si="10"/>
        <v>724.50000000000011</v>
      </c>
      <c r="P76" s="130">
        <f t="shared" si="6"/>
        <v>0.3125</v>
      </c>
    </row>
    <row r="77" spans="1:16" hidden="1" x14ac:dyDescent="0.25">
      <c r="A77" s="114" t="s">
        <v>269</v>
      </c>
      <c r="B77" s="114" t="s">
        <v>271</v>
      </c>
      <c r="C77" s="114">
        <v>0</v>
      </c>
      <c r="D77" s="114">
        <v>25</v>
      </c>
      <c r="E77" s="1" t="s">
        <v>266</v>
      </c>
      <c r="F77" s="35">
        <v>2501</v>
      </c>
      <c r="G77" s="35">
        <v>5000</v>
      </c>
      <c r="H77" s="127">
        <v>5000</v>
      </c>
      <c r="I77" s="138">
        <v>2.5</v>
      </c>
      <c r="J77" s="137"/>
      <c r="K77" s="138">
        <v>700</v>
      </c>
      <c r="L77" s="130">
        <f>I77*(H77/K77)</f>
        <v>17.857142857142858</v>
      </c>
      <c r="M77" s="28">
        <f>+L77*$M$1</f>
        <v>575.00000000000011</v>
      </c>
      <c r="N77" s="162">
        <f>+M77/H77</f>
        <v>0.11500000000000002</v>
      </c>
      <c r="O77" s="131">
        <f t="shared" si="10"/>
        <v>115.00000000000001</v>
      </c>
      <c r="P77" s="130">
        <f t="shared" si="6"/>
        <v>0</v>
      </c>
    </row>
    <row r="78" spans="1:16" hidden="1" x14ac:dyDescent="0.25">
      <c r="A78" s="114" t="s">
        <v>269</v>
      </c>
      <c r="B78" s="114" t="s">
        <v>301</v>
      </c>
      <c r="C78" s="114">
        <v>0</v>
      </c>
      <c r="D78" s="114">
        <v>25</v>
      </c>
      <c r="E78" s="1" t="s">
        <v>50</v>
      </c>
      <c r="F78" s="35">
        <v>2501</v>
      </c>
      <c r="G78" s="35">
        <v>5000</v>
      </c>
      <c r="H78" s="127">
        <v>5000</v>
      </c>
      <c r="I78" s="138">
        <v>4.5</v>
      </c>
      <c r="J78" s="137"/>
      <c r="K78" s="138">
        <v>700</v>
      </c>
      <c r="L78" s="130">
        <f>I78*(H78/K78)</f>
        <v>32.142857142857146</v>
      </c>
      <c r="M78" s="28">
        <f>+L78*$M$1</f>
        <v>1035.0000000000002</v>
      </c>
      <c r="N78" s="162">
        <f>+M78/H78</f>
        <v>0.20700000000000005</v>
      </c>
      <c r="O78" s="131">
        <f t="shared" si="10"/>
        <v>207.00000000000006</v>
      </c>
      <c r="P78" s="130">
        <f t="shared" si="6"/>
        <v>0</v>
      </c>
    </row>
    <row r="79" spans="1:16" hidden="1" x14ac:dyDescent="0.25">
      <c r="A79" s="114" t="s">
        <v>269</v>
      </c>
      <c r="B79" s="114" t="s">
        <v>271</v>
      </c>
      <c r="C79" s="114">
        <v>0</v>
      </c>
      <c r="D79" s="114">
        <v>25</v>
      </c>
      <c r="E79" s="1" t="s">
        <v>50</v>
      </c>
      <c r="F79" s="35">
        <v>2501</v>
      </c>
      <c r="G79" s="35">
        <v>5000</v>
      </c>
      <c r="H79" s="127">
        <v>5000</v>
      </c>
      <c r="I79" s="138">
        <v>5.5</v>
      </c>
      <c r="J79" s="137"/>
      <c r="K79" s="138">
        <v>450</v>
      </c>
      <c r="L79" s="130">
        <f>I79*(H79/K79)</f>
        <v>61.111111111111107</v>
      </c>
      <c r="M79" s="28">
        <f>+L79*$M$1</f>
        <v>1967.7777777777778</v>
      </c>
      <c r="N79" s="162">
        <f>+M79/H79</f>
        <v>0.39355555555555555</v>
      </c>
      <c r="O79" s="131">
        <f t="shared" si="10"/>
        <v>393.55555555555554</v>
      </c>
      <c r="P79" s="130">
        <f t="shared" ref="P79:P142" si="11">+J79/8</f>
        <v>0</v>
      </c>
    </row>
    <row r="80" spans="1:16" x14ac:dyDescent="0.25">
      <c r="A80" s="114" t="s">
        <v>270</v>
      </c>
      <c r="B80" s="114" t="s">
        <v>301</v>
      </c>
      <c r="C80" s="114">
        <v>301</v>
      </c>
      <c r="D80" s="114">
        <v>500</v>
      </c>
      <c r="E80" s="1" t="s">
        <v>50</v>
      </c>
      <c r="F80" s="35">
        <v>0</v>
      </c>
      <c r="G80" s="35">
        <v>500</v>
      </c>
      <c r="H80" s="127">
        <v>500</v>
      </c>
      <c r="I80" s="138">
        <v>4.5</v>
      </c>
      <c r="J80" s="138">
        <v>2.5</v>
      </c>
      <c r="K80" s="136"/>
      <c r="L80" s="130">
        <f>+I80*J80</f>
        <v>11.25</v>
      </c>
      <c r="M80" s="28">
        <f>+L80*$M$1</f>
        <v>362.25000000000006</v>
      </c>
      <c r="N80" s="162">
        <f>+M80/H80</f>
        <v>0.72450000000000014</v>
      </c>
      <c r="O80" s="131">
        <f t="shared" ref="O80:O84" si="12">+N80*1000</f>
        <v>724.50000000000011</v>
      </c>
      <c r="P80" s="130">
        <f t="shared" si="11"/>
        <v>0.3125</v>
      </c>
    </row>
    <row r="81" spans="1:16" hidden="1" x14ac:dyDescent="0.25">
      <c r="A81" s="114" t="s">
        <v>269</v>
      </c>
      <c r="B81" s="114" t="s">
        <v>301</v>
      </c>
      <c r="C81" s="114">
        <v>0</v>
      </c>
      <c r="D81" s="114">
        <v>25</v>
      </c>
      <c r="E81" s="1" t="s">
        <v>17</v>
      </c>
      <c r="F81" s="35">
        <v>2501</v>
      </c>
      <c r="G81" s="35">
        <v>5000</v>
      </c>
      <c r="H81" s="127">
        <v>5000</v>
      </c>
      <c r="I81" s="138">
        <v>3.5</v>
      </c>
      <c r="J81" s="137"/>
      <c r="K81" s="138">
        <v>750</v>
      </c>
      <c r="L81" s="130">
        <f>I81*(H81/K81)</f>
        <v>23.333333333333336</v>
      </c>
      <c r="M81" s="28">
        <f>+L81*$M$1</f>
        <v>751.33333333333348</v>
      </c>
      <c r="N81" s="162">
        <f>+M81/H81</f>
        <v>0.15026666666666669</v>
      </c>
      <c r="O81" s="131">
        <f t="shared" si="12"/>
        <v>150.26666666666668</v>
      </c>
      <c r="P81" s="130">
        <f t="shared" si="11"/>
        <v>0</v>
      </c>
    </row>
    <row r="82" spans="1:16" hidden="1" x14ac:dyDescent="0.25">
      <c r="A82" s="114" t="s">
        <v>269</v>
      </c>
      <c r="B82" s="114" t="s">
        <v>271</v>
      </c>
      <c r="C82" s="114">
        <v>0</v>
      </c>
      <c r="D82" s="114">
        <v>25</v>
      </c>
      <c r="E82" s="1" t="s">
        <v>277</v>
      </c>
      <c r="F82" s="35">
        <v>2501</v>
      </c>
      <c r="G82" s="35">
        <v>5000</v>
      </c>
      <c r="H82" s="127">
        <v>5000</v>
      </c>
      <c r="I82" s="138">
        <v>3.5</v>
      </c>
      <c r="J82" s="137"/>
      <c r="K82" s="138">
        <v>575</v>
      </c>
      <c r="L82" s="130">
        <f>I82*(H82/K82)</f>
        <v>30.434782608695649</v>
      </c>
      <c r="M82" s="28">
        <f>+L82*$M$1</f>
        <v>980</v>
      </c>
      <c r="N82" s="162">
        <f>+M82/H82</f>
        <v>0.19600000000000001</v>
      </c>
      <c r="O82" s="131">
        <f t="shared" si="12"/>
        <v>196</v>
      </c>
      <c r="P82" s="130">
        <f t="shared" si="11"/>
        <v>0</v>
      </c>
    </row>
    <row r="83" spans="1:16" hidden="1" x14ac:dyDescent="0.25">
      <c r="A83" s="114" t="s">
        <v>269</v>
      </c>
      <c r="B83" s="114" t="s">
        <v>271</v>
      </c>
      <c r="C83" s="114">
        <v>0</v>
      </c>
      <c r="D83" s="114">
        <v>25</v>
      </c>
      <c r="E83" s="1" t="s">
        <v>273</v>
      </c>
      <c r="F83" s="35">
        <v>2501</v>
      </c>
      <c r="G83" s="35">
        <v>5000</v>
      </c>
      <c r="H83" s="127">
        <v>5000</v>
      </c>
      <c r="I83" s="138">
        <v>4.5</v>
      </c>
      <c r="J83" s="137"/>
      <c r="K83" s="138">
        <v>575</v>
      </c>
      <c r="L83" s="130">
        <f>I83*(H83/K83)</f>
        <v>39.130434782608695</v>
      </c>
      <c r="M83" s="28">
        <f>+L83*$M$1</f>
        <v>1260</v>
      </c>
      <c r="N83" s="162">
        <f>+M83/H83</f>
        <v>0.252</v>
      </c>
      <c r="O83" s="131">
        <f t="shared" si="12"/>
        <v>252</v>
      </c>
      <c r="P83" s="130">
        <f t="shared" si="11"/>
        <v>0</v>
      </c>
    </row>
    <row r="84" spans="1:16" x14ac:dyDescent="0.25">
      <c r="A84" s="114" t="s">
        <v>270</v>
      </c>
      <c r="B84" s="114" t="s">
        <v>301</v>
      </c>
      <c r="C84" s="114">
        <v>501</v>
      </c>
      <c r="D84" s="114">
        <v>1000</v>
      </c>
      <c r="E84" s="1" t="s">
        <v>50</v>
      </c>
      <c r="F84" s="35">
        <v>0</v>
      </c>
      <c r="G84" s="35">
        <v>500</v>
      </c>
      <c r="H84" s="127">
        <v>500</v>
      </c>
      <c r="I84" s="138">
        <v>4.5</v>
      </c>
      <c r="J84" s="138">
        <v>2.5</v>
      </c>
      <c r="K84" s="136"/>
      <c r="L84" s="130">
        <f>+I84*J84</f>
        <v>11.25</v>
      </c>
      <c r="M84" s="28">
        <f>+L84*$M$1</f>
        <v>362.25000000000006</v>
      </c>
      <c r="N84" s="162">
        <f>+M84/H84</f>
        <v>0.72450000000000014</v>
      </c>
      <c r="O84" s="131">
        <f t="shared" si="12"/>
        <v>724.50000000000011</v>
      </c>
      <c r="P84" s="130">
        <f t="shared" si="11"/>
        <v>0.3125</v>
      </c>
    </row>
    <row r="85" spans="1:16" hidden="1" x14ac:dyDescent="0.25">
      <c r="A85" s="114" t="s">
        <v>269</v>
      </c>
      <c r="B85" s="114" t="s">
        <v>271</v>
      </c>
      <c r="C85" s="114">
        <v>0</v>
      </c>
      <c r="D85" s="114">
        <v>25</v>
      </c>
      <c r="E85" s="1" t="s">
        <v>277</v>
      </c>
      <c r="F85" s="35">
        <v>5001</v>
      </c>
      <c r="G85" s="35">
        <v>10000</v>
      </c>
      <c r="H85" s="127">
        <v>10000</v>
      </c>
      <c r="I85" s="138">
        <v>3.5</v>
      </c>
      <c r="J85" s="137"/>
      <c r="K85" s="138">
        <v>600</v>
      </c>
      <c r="L85" s="130">
        <f>I85*(H85/K85)</f>
        <v>58.333333333333336</v>
      </c>
      <c r="M85" s="28">
        <f>+L85*$M$1</f>
        <v>1878.3333333333335</v>
      </c>
      <c r="N85" s="162">
        <f>+M85/H85</f>
        <v>0.18783333333333335</v>
      </c>
      <c r="O85" s="131">
        <f t="shared" ref="O85:O114" si="13">+N85*1000</f>
        <v>187.83333333333334</v>
      </c>
      <c r="P85" s="130">
        <f t="shared" si="11"/>
        <v>0</v>
      </c>
    </row>
    <row r="86" spans="1:16" hidden="1" x14ac:dyDescent="0.25">
      <c r="A86" s="114" t="s">
        <v>269</v>
      </c>
      <c r="B86" s="114" t="s">
        <v>271</v>
      </c>
      <c r="C86" s="114">
        <v>0</v>
      </c>
      <c r="D86" s="114">
        <v>25</v>
      </c>
      <c r="E86" s="1" t="s">
        <v>273</v>
      </c>
      <c r="F86" s="35">
        <v>5001</v>
      </c>
      <c r="G86" s="35">
        <v>10000</v>
      </c>
      <c r="H86" s="127">
        <v>10000</v>
      </c>
      <c r="I86" s="138">
        <v>4.5</v>
      </c>
      <c r="J86" s="137"/>
      <c r="K86" s="138">
        <v>600</v>
      </c>
      <c r="L86" s="130">
        <f>I86*(H86/K86)</f>
        <v>75</v>
      </c>
      <c r="M86" s="28">
        <f>+L86*$M$1</f>
        <v>2415</v>
      </c>
      <c r="N86" s="162">
        <f>+M86/H86</f>
        <v>0.24149999999999999</v>
      </c>
      <c r="O86" s="131">
        <f t="shared" si="13"/>
        <v>241.5</v>
      </c>
      <c r="P86" s="130">
        <f t="shared" si="11"/>
        <v>0</v>
      </c>
    </row>
    <row r="87" spans="1:16" hidden="1" x14ac:dyDescent="0.25">
      <c r="A87" s="114" t="s">
        <v>269</v>
      </c>
      <c r="B87" s="114" t="s">
        <v>301</v>
      </c>
      <c r="C87" s="114">
        <v>0</v>
      </c>
      <c r="D87" s="114">
        <v>25</v>
      </c>
      <c r="E87" s="1" t="s">
        <v>50</v>
      </c>
      <c r="F87" s="35">
        <v>5001</v>
      </c>
      <c r="G87" s="35">
        <v>15000</v>
      </c>
      <c r="H87" s="127">
        <v>15000</v>
      </c>
      <c r="I87" s="138">
        <v>4.5</v>
      </c>
      <c r="J87" s="137"/>
      <c r="K87" s="138">
        <v>800</v>
      </c>
      <c r="L87" s="130">
        <f>I87*(H87/K87)</f>
        <v>84.375</v>
      </c>
      <c r="M87" s="28">
        <f>+L87*$M$1</f>
        <v>2716.8750000000005</v>
      </c>
      <c r="N87" s="162">
        <f>+M87/H87</f>
        <v>0.18112500000000004</v>
      </c>
      <c r="O87" s="131">
        <f t="shared" si="13"/>
        <v>181.12500000000003</v>
      </c>
      <c r="P87" s="130">
        <f t="shared" si="11"/>
        <v>0</v>
      </c>
    </row>
    <row r="88" spans="1:16" hidden="1" x14ac:dyDescent="0.25">
      <c r="A88" s="114" t="s">
        <v>269</v>
      </c>
      <c r="B88" s="114" t="s">
        <v>301</v>
      </c>
      <c r="C88" s="114">
        <v>0</v>
      </c>
      <c r="D88" s="114">
        <v>25</v>
      </c>
      <c r="E88" s="1" t="s">
        <v>17</v>
      </c>
      <c r="F88" s="35">
        <v>5001</v>
      </c>
      <c r="G88" s="35">
        <v>15000</v>
      </c>
      <c r="H88" s="127">
        <v>15000</v>
      </c>
      <c r="I88" s="138">
        <v>3.5</v>
      </c>
      <c r="J88" s="137"/>
      <c r="K88" s="138">
        <v>850</v>
      </c>
      <c r="L88" s="130">
        <f>I88*(H88/K88)</f>
        <v>61.764705882352942</v>
      </c>
      <c r="M88" s="28">
        <f>+L88*$M$1</f>
        <v>1988.8235294117649</v>
      </c>
      <c r="N88" s="162">
        <f>+M88/H88</f>
        <v>0.13258823529411765</v>
      </c>
      <c r="O88" s="131">
        <f t="shared" si="13"/>
        <v>132.58823529411765</v>
      </c>
      <c r="P88" s="130">
        <f t="shared" si="11"/>
        <v>0</v>
      </c>
    </row>
    <row r="89" spans="1:16" hidden="1" x14ac:dyDescent="0.25">
      <c r="A89" s="114" t="s">
        <v>269</v>
      </c>
      <c r="B89" s="114" t="s">
        <v>301</v>
      </c>
      <c r="C89" s="114">
        <v>0</v>
      </c>
      <c r="D89" s="114">
        <v>25</v>
      </c>
      <c r="E89" s="1" t="s">
        <v>263</v>
      </c>
      <c r="F89" s="35">
        <v>5001</v>
      </c>
      <c r="G89" s="35">
        <v>25000</v>
      </c>
      <c r="H89" s="127">
        <v>25000</v>
      </c>
      <c r="I89" s="138">
        <v>1.5</v>
      </c>
      <c r="J89" s="137"/>
      <c r="K89" s="138">
        <v>1100</v>
      </c>
      <c r="L89" s="130">
        <f>I89*(H89/K89)</f>
        <v>34.090909090909093</v>
      </c>
      <c r="M89" s="28">
        <f>+L89*$M$1</f>
        <v>1097.727272727273</v>
      </c>
      <c r="N89" s="162">
        <f>+M89/H89</f>
        <v>4.3909090909090918E-2</v>
      </c>
      <c r="O89" s="131">
        <f t="shared" si="13"/>
        <v>43.909090909090921</v>
      </c>
      <c r="P89" s="130">
        <f t="shared" si="11"/>
        <v>0</v>
      </c>
    </row>
    <row r="90" spans="1:16" hidden="1" x14ac:dyDescent="0.25">
      <c r="A90" s="114" t="s">
        <v>269</v>
      </c>
      <c r="B90" s="114" t="s">
        <v>301</v>
      </c>
      <c r="C90" s="114">
        <v>0</v>
      </c>
      <c r="D90" s="114">
        <v>25</v>
      </c>
      <c r="E90" s="1" t="s">
        <v>265</v>
      </c>
      <c r="F90" s="35">
        <v>5001</v>
      </c>
      <c r="G90" s="35">
        <v>25000</v>
      </c>
      <c r="H90" s="127">
        <v>25000</v>
      </c>
      <c r="I90" s="138">
        <v>1.5</v>
      </c>
      <c r="J90" s="137"/>
      <c r="K90" s="138">
        <v>1000</v>
      </c>
      <c r="L90" s="130">
        <f>I90*(H90/K90)</f>
        <v>37.5</v>
      </c>
      <c r="M90" s="28">
        <f>+L90*$M$1</f>
        <v>1207.5</v>
      </c>
      <c r="N90" s="162">
        <f>+M90/H90</f>
        <v>4.8300000000000003E-2</v>
      </c>
      <c r="O90" s="131">
        <f t="shared" si="13"/>
        <v>48.300000000000004</v>
      </c>
      <c r="P90" s="130">
        <f t="shared" si="11"/>
        <v>0</v>
      </c>
    </row>
    <row r="91" spans="1:16" hidden="1" x14ac:dyDescent="0.25">
      <c r="A91" s="114" t="s">
        <v>269</v>
      </c>
      <c r="B91" s="114" t="s">
        <v>271</v>
      </c>
      <c r="C91" s="114">
        <v>0</v>
      </c>
      <c r="D91" s="114">
        <v>25</v>
      </c>
      <c r="E91" s="1" t="s">
        <v>263</v>
      </c>
      <c r="F91" s="35">
        <v>5001</v>
      </c>
      <c r="G91" s="35">
        <v>25000</v>
      </c>
      <c r="H91" s="127">
        <v>25000</v>
      </c>
      <c r="I91" s="138">
        <v>1.5</v>
      </c>
      <c r="J91" s="137"/>
      <c r="K91" s="138">
        <v>1100</v>
      </c>
      <c r="L91" s="130">
        <f>I91*(H91/K91)</f>
        <v>34.090909090909093</v>
      </c>
      <c r="M91" s="28">
        <f>+L91*$M$1</f>
        <v>1097.727272727273</v>
      </c>
      <c r="N91" s="162">
        <f>+M91/H91</f>
        <v>4.3909090909090918E-2</v>
      </c>
      <c r="O91" s="131">
        <f t="shared" si="13"/>
        <v>43.909090909090921</v>
      </c>
      <c r="P91" s="130">
        <f t="shared" si="11"/>
        <v>0</v>
      </c>
    </row>
    <row r="92" spans="1:16" hidden="1" x14ac:dyDescent="0.25">
      <c r="A92" s="114" t="s">
        <v>269</v>
      </c>
      <c r="B92" s="114" t="s">
        <v>271</v>
      </c>
      <c r="C92" s="114">
        <v>0</v>
      </c>
      <c r="D92" s="114">
        <v>25</v>
      </c>
      <c r="E92" s="1" t="s">
        <v>265</v>
      </c>
      <c r="F92" s="35">
        <v>5001</v>
      </c>
      <c r="G92" s="35">
        <v>25000</v>
      </c>
      <c r="H92" s="127">
        <v>25000</v>
      </c>
      <c r="I92" s="138">
        <v>1.5</v>
      </c>
      <c r="J92" s="137"/>
      <c r="K92" s="138">
        <v>1000</v>
      </c>
      <c r="L92" s="130">
        <f>I92*(H92/K92)</f>
        <v>37.5</v>
      </c>
      <c r="M92" s="28">
        <f>+L92*$M$1</f>
        <v>1207.5</v>
      </c>
      <c r="N92" s="162">
        <f>+M92/H92</f>
        <v>4.8300000000000003E-2</v>
      </c>
      <c r="O92" s="131">
        <f t="shared" si="13"/>
        <v>48.300000000000004</v>
      </c>
      <c r="P92" s="130">
        <f t="shared" si="11"/>
        <v>0</v>
      </c>
    </row>
    <row r="93" spans="1:16" hidden="1" x14ac:dyDescent="0.25">
      <c r="A93" s="114" t="s">
        <v>269</v>
      </c>
      <c r="B93" s="114" t="s">
        <v>301</v>
      </c>
      <c r="C93" s="114">
        <v>0</v>
      </c>
      <c r="D93" s="114">
        <v>25</v>
      </c>
      <c r="E93" s="1" t="s">
        <v>264</v>
      </c>
      <c r="F93" s="35">
        <v>5001</v>
      </c>
      <c r="G93" s="35">
        <v>25000</v>
      </c>
      <c r="H93" s="127">
        <v>25000</v>
      </c>
      <c r="I93" s="138">
        <v>2.5</v>
      </c>
      <c r="J93" s="137"/>
      <c r="K93" s="138">
        <v>1100</v>
      </c>
      <c r="L93" s="130">
        <f>I93*(H93/K93)</f>
        <v>56.818181818181813</v>
      </c>
      <c r="M93" s="28">
        <f>+L93*$M$1</f>
        <v>1829.5454545454545</v>
      </c>
      <c r="N93" s="162">
        <f>+M93/H93</f>
        <v>7.3181818181818181E-2</v>
      </c>
      <c r="O93" s="131">
        <f t="shared" si="13"/>
        <v>73.181818181818187</v>
      </c>
      <c r="P93" s="130">
        <f t="shared" si="11"/>
        <v>0</v>
      </c>
    </row>
    <row r="94" spans="1:16" hidden="1" x14ac:dyDescent="0.25">
      <c r="A94" s="114" t="s">
        <v>269</v>
      </c>
      <c r="B94" s="114" t="s">
        <v>301</v>
      </c>
      <c r="C94" s="114">
        <v>0</v>
      </c>
      <c r="D94" s="114">
        <v>25</v>
      </c>
      <c r="E94" s="1" t="s">
        <v>266</v>
      </c>
      <c r="F94" s="35">
        <v>5001</v>
      </c>
      <c r="G94" s="35">
        <v>25000</v>
      </c>
      <c r="H94" s="127">
        <v>25000</v>
      </c>
      <c r="I94" s="138">
        <v>2.5</v>
      </c>
      <c r="J94" s="137"/>
      <c r="K94" s="138">
        <v>1000</v>
      </c>
      <c r="L94" s="130">
        <f>I94*(H94/K94)</f>
        <v>62.5</v>
      </c>
      <c r="M94" s="28">
        <f>+L94*$M$1</f>
        <v>2012.5000000000002</v>
      </c>
      <c r="N94" s="162">
        <f>+M94/H94</f>
        <v>8.0500000000000016E-2</v>
      </c>
      <c r="O94" s="131">
        <f t="shared" si="13"/>
        <v>80.500000000000014</v>
      </c>
      <c r="P94" s="130">
        <f t="shared" si="11"/>
        <v>0</v>
      </c>
    </row>
    <row r="95" spans="1:16" hidden="1" x14ac:dyDescent="0.25">
      <c r="A95" s="114" t="s">
        <v>269</v>
      </c>
      <c r="B95" s="114" t="s">
        <v>271</v>
      </c>
      <c r="C95" s="114">
        <v>0</v>
      </c>
      <c r="D95" s="114">
        <v>25</v>
      </c>
      <c r="E95" s="1" t="s">
        <v>264</v>
      </c>
      <c r="F95" s="35">
        <v>5001</v>
      </c>
      <c r="G95" s="35">
        <v>25000</v>
      </c>
      <c r="H95" s="127">
        <v>25000</v>
      </c>
      <c r="I95" s="138">
        <v>2.5</v>
      </c>
      <c r="J95" s="137"/>
      <c r="K95" s="138">
        <v>1100</v>
      </c>
      <c r="L95" s="130">
        <f>I95*(H95/K95)</f>
        <v>56.818181818181813</v>
      </c>
      <c r="M95" s="28">
        <f>+L95*$M$1</f>
        <v>1829.5454545454545</v>
      </c>
      <c r="N95" s="162">
        <f>+M95/H95</f>
        <v>7.3181818181818181E-2</v>
      </c>
      <c r="O95" s="131">
        <f t="shared" si="13"/>
        <v>73.181818181818187</v>
      </c>
      <c r="P95" s="130">
        <f t="shared" si="11"/>
        <v>0</v>
      </c>
    </row>
    <row r="96" spans="1:16" hidden="1" x14ac:dyDescent="0.25">
      <c r="A96" s="114" t="s">
        <v>269</v>
      </c>
      <c r="B96" s="114" t="s">
        <v>271</v>
      </c>
      <c r="C96" s="114">
        <v>0</v>
      </c>
      <c r="D96" s="114">
        <v>25</v>
      </c>
      <c r="E96" s="1" t="s">
        <v>266</v>
      </c>
      <c r="F96" s="35">
        <v>5001</v>
      </c>
      <c r="G96" s="35">
        <v>25000</v>
      </c>
      <c r="H96" s="127">
        <v>25000</v>
      </c>
      <c r="I96" s="138">
        <v>2.5</v>
      </c>
      <c r="J96" s="137"/>
      <c r="K96" s="138">
        <v>1000</v>
      </c>
      <c r="L96" s="130">
        <f>I96*(H96/K96)</f>
        <v>62.5</v>
      </c>
      <c r="M96" s="28">
        <f>+L96*$M$1</f>
        <v>2012.5000000000002</v>
      </c>
      <c r="N96" s="162">
        <f>+M96/H96</f>
        <v>8.0500000000000016E-2</v>
      </c>
      <c r="O96" s="131">
        <f t="shared" si="13"/>
        <v>80.500000000000014</v>
      </c>
      <c r="P96" s="130">
        <f t="shared" si="11"/>
        <v>0</v>
      </c>
    </row>
    <row r="97" spans="1:16" x14ac:dyDescent="0.25">
      <c r="A97" s="114" t="s">
        <v>270</v>
      </c>
      <c r="B97" s="114" t="s">
        <v>301</v>
      </c>
      <c r="C97" s="114">
        <v>151</v>
      </c>
      <c r="D97" s="114">
        <v>300</v>
      </c>
      <c r="E97" s="1" t="s">
        <v>263</v>
      </c>
      <c r="F97" s="35">
        <v>501</v>
      </c>
      <c r="G97" s="35">
        <v>1000</v>
      </c>
      <c r="H97" s="127">
        <v>1000</v>
      </c>
      <c r="I97" s="138">
        <v>1.5</v>
      </c>
      <c r="J97" s="138">
        <v>2</v>
      </c>
      <c r="K97" s="136"/>
      <c r="L97" s="130">
        <f>+I97*J97</f>
        <v>3</v>
      </c>
      <c r="M97" s="28">
        <f>+L97*$M$1</f>
        <v>96.600000000000009</v>
      </c>
      <c r="N97" s="162">
        <f>+M97/H97</f>
        <v>9.6600000000000005E-2</v>
      </c>
      <c r="O97" s="131">
        <f t="shared" si="13"/>
        <v>96.600000000000009</v>
      </c>
      <c r="P97" s="130">
        <f t="shared" si="11"/>
        <v>0.25</v>
      </c>
    </row>
    <row r="98" spans="1:16" x14ac:dyDescent="0.25">
      <c r="A98" s="114" t="s">
        <v>270</v>
      </c>
      <c r="B98" s="114" t="s">
        <v>301</v>
      </c>
      <c r="C98" s="114">
        <v>301</v>
      </c>
      <c r="D98" s="114">
        <v>500</v>
      </c>
      <c r="E98" s="1" t="s">
        <v>263</v>
      </c>
      <c r="F98" s="35">
        <v>501</v>
      </c>
      <c r="G98" s="35">
        <v>1000</v>
      </c>
      <c r="H98" s="127">
        <v>1000</v>
      </c>
      <c r="I98" s="138">
        <v>1.5</v>
      </c>
      <c r="J98" s="138">
        <v>2</v>
      </c>
      <c r="K98" s="136"/>
      <c r="L98" s="130">
        <f>+I98*J98</f>
        <v>3</v>
      </c>
      <c r="M98" s="28">
        <f>+L98*$M$1</f>
        <v>96.600000000000009</v>
      </c>
      <c r="N98" s="162">
        <f>+M98/H98</f>
        <v>9.6600000000000005E-2</v>
      </c>
      <c r="O98" s="131">
        <f t="shared" si="13"/>
        <v>96.600000000000009</v>
      </c>
      <c r="P98" s="130">
        <f t="shared" si="11"/>
        <v>0.25</v>
      </c>
    </row>
    <row r="99" spans="1:16" x14ac:dyDescent="0.25">
      <c r="A99" s="114" t="s">
        <v>270</v>
      </c>
      <c r="B99" s="114" t="s">
        <v>301</v>
      </c>
      <c r="C99" s="114">
        <v>501</v>
      </c>
      <c r="D99" s="114">
        <v>1000</v>
      </c>
      <c r="E99" s="1" t="s">
        <v>263</v>
      </c>
      <c r="F99" s="35">
        <v>501</v>
      </c>
      <c r="G99" s="35">
        <v>1000</v>
      </c>
      <c r="H99" s="127">
        <v>1000</v>
      </c>
      <c r="I99" s="138">
        <v>1.5</v>
      </c>
      <c r="J99" s="138">
        <v>2</v>
      </c>
      <c r="K99" s="136"/>
      <c r="L99" s="130">
        <f>+I99*J99</f>
        <v>3</v>
      </c>
      <c r="M99" s="28">
        <f>+L99*$M$1</f>
        <v>96.600000000000009</v>
      </c>
      <c r="N99" s="162">
        <f>+M99/H99</f>
        <v>9.6600000000000005E-2</v>
      </c>
      <c r="O99" s="131">
        <f t="shared" si="13"/>
        <v>96.600000000000009</v>
      </c>
      <c r="P99" s="130">
        <f t="shared" si="11"/>
        <v>0.25</v>
      </c>
    </row>
    <row r="100" spans="1:16" hidden="1" x14ac:dyDescent="0.25">
      <c r="A100" s="114" t="s">
        <v>269</v>
      </c>
      <c r="B100" s="114" t="s">
        <v>271</v>
      </c>
      <c r="C100" s="114">
        <v>0</v>
      </c>
      <c r="D100" s="114">
        <v>25</v>
      </c>
      <c r="E100" s="1" t="s">
        <v>50</v>
      </c>
      <c r="F100" s="35">
        <v>5001</v>
      </c>
      <c r="G100" s="35">
        <v>25000</v>
      </c>
      <c r="H100" s="127">
        <v>25000</v>
      </c>
      <c r="I100" s="138">
        <v>5.5</v>
      </c>
      <c r="J100" s="137"/>
      <c r="K100" s="138">
        <v>500</v>
      </c>
      <c r="L100" s="130">
        <f>I100*(H100/K100)</f>
        <v>275</v>
      </c>
      <c r="M100" s="28">
        <f>+L100*$M$1</f>
        <v>8855</v>
      </c>
      <c r="N100" s="162">
        <f>+M100/H100</f>
        <v>0.35420000000000001</v>
      </c>
      <c r="O100" s="131">
        <f t="shared" si="13"/>
        <v>354.2</v>
      </c>
      <c r="P100" s="130">
        <f t="shared" si="11"/>
        <v>0</v>
      </c>
    </row>
    <row r="101" spans="1:16" hidden="1" x14ac:dyDescent="0.25">
      <c r="A101" s="114" t="s">
        <v>269</v>
      </c>
      <c r="B101" s="114" t="s">
        <v>271</v>
      </c>
      <c r="C101" s="114">
        <v>0</v>
      </c>
      <c r="D101" s="114">
        <v>25</v>
      </c>
      <c r="E101" s="1" t="s">
        <v>277</v>
      </c>
      <c r="F101" s="35">
        <v>10001</v>
      </c>
      <c r="G101" s="35">
        <v>999999</v>
      </c>
      <c r="H101" s="127">
        <v>25000</v>
      </c>
      <c r="I101" s="138">
        <v>3.5</v>
      </c>
      <c r="J101" s="137"/>
      <c r="K101" s="138">
        <v>625</v>
      </c>
      <c r="L101" s="130">
        <f>I101*(H101/K101)</f>
        <v>140</v>
      </c>
      <c r="M101" s="28">
        <f>+L101*$M$1</f>
        <v>4508</v>
      </c>
      <c r="N101" s="162">
        <f>+M101/H101</f>
        <v>0.18032000000000001</v>
      </c>
      <c r="O101" s="131">
        <f t="shared" si="13"/>
        <v>180.32000000000002</v>
      </c>
      <c r="P101" s="130">
        <f t="shared" si="11"/>
        <v>0</v>
      </c>
    </row>
    <row r="102" spans="1:16" hidden="1" x14ac:dyDescent="0.25">
      <c r="A102" s="114" t="s">
        <v>269</v>
      </c>
      <c r="B102" s="114" t="s">
        <v>271</v>
      </c>
      <c r="C102" s="114">
        <v>0</v>
      </c>
      <c r="D102" s="114">
        <v>25</v>
      </c>
      <c r="E102" s="1" t="s">
        <v>273</v>
      </c>
      <c r="F102" s="35">
        <v>10001</v>
      </c>
      <c r="G102" s="35">
        <v>999999</v>
      </c>
      <c r="H102" s="127">
        <v>25000</v>
      </c>
      <c r="I102" s="138">
        <v>4.5</v>
      </c>
      <c r="J102" s="137"/>
      <c r="K102" s="138">
        <v>625</v>
      </c>
      <c r="L102" s="130">
        <f>I102*(H102/K102)</f>
        <v>180</v>
      </c>
      <c r="M102" s="28">
        <f>+L102*$M$1</f>
        <v>5796.0000000000009</v>
      </c>
      <c r="N102" s="162">
        <f>+M102/H102</f>
        <v>0.23184000000000005</v>
      </c>
      <c r="O102" s="131">
        <f t="shared" si="13"/>
        <v>231.84000000000003</v>
      </c>
      <c r="P102" s="130">
        <f t="shared" si="11"/>
        <v>0</v>
      </c>
    </row>
    <row r="103" spans="1:16" hidden="1" x14ac:dyDescent="0.25">
      <c r="A103" s="114" t="s">
        <v>269</v>
      </c>
      <c r="B103" s="114" t="s">
        <v>301</v>
      </c>
      <c r="C103" s="114">
        <v>26</v>
      </c>
      <c r="D103" s="114">
        <v>60</v>
      </c>
      <c r="E103" s="1" t="s">
        <v>263</v>
      </c>
      <c r="F103" s="35">
        <v>0</v>
      </c>
      <c r="G103" s="35">
        <v>500</v>
      </c>
      <c r="H103" s="127">
        <v>500</v>
      </c>
      <c r="I103" s="138">
        <v>1.5</v>
      </c>
      <c r="J103" s="138">
        <v>1</v>
      </c>
      <c r="K103" s="136"/>
      <c r="L103" s="130">
        <f>+I103*J103</f>
        <v>1.5</v>
      </c>
      <c r="M103" s="28">
        <f>+L103*$M$1</f>
        <v>48.300000000000004</v>
      </c>
      <c r="N103" s="162">
        <f>+M103/H103</f>
        <v>9.6600000000000005E-2</v>
      </c>
      <c r="O103" s="131">
        <f t="shared" si="13"/>
        <v>96.600000000000009</v>
      </c>
      <c r="P103" s="130">
        <f t="shared" si="11"/>
        <v>0.125</v>
      </c>
    </row>
    <row r="104" spans="1:16" hidden="1" x14ac:dyDescent="0.25">
      <c r="A104" s="114" t="s">
        <v>269</v>
      </c>
      <c r="B104" s="114" t="s">
        <v>301</v>
      </c>
      <c r="C104" s="114">
        <v>26</v>
      </c>
      <c r="D104" s="114">
        <v>60</v>
      </c>
      <c r="E104" s="1" t="s">
        <v>265</v>
      </c>
      <c r="F104" s="35">
        <v>0</v>
      </c>
      <c r="G104" s="35">
        <v>500</v>
      </c>
      <c r="H104" s="127">
        <v>500</v>
      </c>
      <c r="I104" s="138">
        <v>1.5</v>
      </c>
      <c r="J104" s="138">
        <v>1.5</v>
      </c>
      <c r="K104" s="136"/>
      <c r="L104" s="130">
        <f>+I104*J104</f>
        <v>2.25</v>
      </c>
      <c r="M104" s="28">
        <f>+L104*$M$1</f>
        <v>72.45</v>
      </c>
      <c r="N104" s="162">
        <f>+M104/H104</f>
        <v>0.1449</v>
      </c>
      <c r="O104" s="131">
        <f t="shared" si="13"/>
        <v>144.9</v>
      </c>
      <c r="P104" s="130">
        <f t="shared" si="11"/>
        <v>0.1875</v>
      </c>
    </row>
    <row r="105" spans="1:16" hidden="1" x14ac:dyDescent="0.25">
      <c r="A105" s="114" t="s">
        <v>269</v>
      </c>
      <c r="B105" s="114" t="s">
        <v>271</v>
      </c>
      <c r="C105" s="114">
        <v>26</v>
      </c>
      <c r="D105" s="114">
        <v>60</v>
      </c>
      <c r="E105" s="1" t="s">
        <v>263</v>
      </c>
      <c r="F105" s="35">
        <v>0</v>
      </c>
      <c r="G105" s="35">
        <v>500</v>
      </c>
      <c r="H105" s="127">
        <v>500</v>
      </c>
      <c r="I105" s="138">
        <v>1.5</v>
      </c>
      <c r="J105" s="138">
        <v>1.5</v>
      </c>
      <c r="K105" s="136"/>
      <c r="L105" s="130">
        <f>+I105*J105</f>
        <v>2.25</v>
      </c>
      <c r="M105" s="28">
        <f>+L105*$M$1</f>
        <v>72.45</v>
      </c>
      <c r="N105" s="162">
        <f>+M105/H105</f>
        <v>0.1449</v>
      </c>
      <c r="O105" s="131">
        <f t="shared" si="13"/>
        <v>144.9</v>
      </c>
      <c r="P105" s="130">
        <f t="shared" si="11"/>
        <v>0.1875</v>
      </c>
    </row>
    <row r="106" spans="1:16" hidden="1" x14ac:dyDescent="0.25">
      <c r="A106" s="114" t="s">
        <v>269</v>
      </c>
      <c r="B106" s="114" t="s">
        <v>271</v>
      </c>
      <c r="C106" s="114">
        <v>26</v>
      </c>
      <c r="D106" s="114">
        <v>60</v>
      </c>
      <c r="E106" s="1" t="s">
        <v>265</v>
      </c>
      <c r="F106" s="35">
        <v>0</v>
      </c>
      <c r="G106" s="35">
        <v>500</v>
      </c>
      <c r="H106" s="127">
        <v>500</v>
      </c>
      <c r="I106" s="138">
        <v>1.5</v>
      </c>
      <c r="J106" s="138">
        <v>1.5</v>
      </c>
      <c r="K106" s="136"/>
      <c r="L106" s="130">
        <f>+I106*J106</f>
        <v>2.25</v>
      </c>
      <c r="M106" s="28">
        <f>+L106*$M$1</f>
        <v>72.45</v>
      </c>
      <c r="N106" s="162">
        <f>+M106/H106</f>
        <v>0.1449</v>
      </c>
      <c r="O106" s="131">
        <f t="shared" si="13"/>
        <v>144.9</v>
      </c>
      <c r="P106" s="130">
        <f t="shared" si="11"/>
        <v>0.1875</v>
      </c>
    </row>
    <row r="107" spans="1:16" hidden="1" x14ac:dyDescent="0.25">
      <c r="A107" s="114" t="s">
        <v>269</v>
      </c>
      <c r="B107" s="114" t="s">
        <v>271</v>
      </c>
      <c r="C107" s="114">
        <v>26</v>
      </c>
      <c r="D107" s="114">
        <v>60</v>
      </c>
      <c r="E107" s="1" t="s">
        <v>266</v>
      </c>
      <c r="F107" s="35">
        <v>0</v>
      </c>
      <c r="G107" s="35">
        <v>500</v>
      </c>
      <c r="H107" s="127">
        <v>500</v>
      </c>
      <c r="I107" s="138">
        <v>1.5</v>
      </c>
      <c r="J107" s="138">
        <v>2.5</v>
      </c>
      <c r="K107" s="136"/>
      <c r="L107" s="130">
        <f>+I107*J107</f>
        <v>3.75</v>
      </c>
      <c r="M107" s="28">
        <f>+L107*$M$1</f>
        <v>120.75000000000001</v>
      </c>
      <c r="N107" s="162">
        <f>+M107/H107</f>
        <v>0.24150000000000002</v>
      </c>
      <c r="O107" s="131">
        <f t="shared" si="13"/>
        <v>241.50000000000003</v>
      </c>
      <c r="P107" s="130">
        <f t="shared" si="11"/>
        <v>0.3125</v>
      </c>
    </row>
    <row r="108" spans="1:16" hidden="1" x14ac:dyDescent="0.25">
      <c r="A108" s="114" t="s">
        <v>269</v>
      </c>
      <c r="B108" s="114" t="s">
        <v>301</v>
      </c>
      <c r="C108" s="114">
        <v>26</v>
      </c>
      <c r="D108" s="114">
        <v>60</v>
      </c>
      <c r="E108" s="1" t="s">
        <v>264</v>
      </c>
      <c r="F108" s="35">
        <v>0</v>
      </c>
      <c r="G108" s="35">
        <v>500</v>
      </c>
      <c r="H108" s="127">
        <v>500</v>
      </c>
      <c r="I108" s="138">
        <v>2.5</v>
      </c>
      <c r="J108" s="138">
        <v>1</v>
      </c>
      <c r="K108" s="136"/>
      <c r="L108" s="130">
        <f>+I108*J108</f>
        <v>2.5</v>
      </c>
      <c r="M108" s="28">
        <f>+L108*$M$1</f>
        <v>80.5</v>
      </c>
      <c r="N108" s="162">
        <f>+M108/H108</f>
        <v>0.161</v>
      </c>
      <c r="O108" s="131">
        <f t="shared" si="13"/>
        <v>161</v>
      </c>
      <c r="P108" s="130">
        <f t="shared" si="11"/>
        <v>0.125</v>
      </c>
    </row>
    <row r="109" spans="1:16" hidden="1" x14ac:dyDescent="0.25">
      <c r="A109" s="114" t="s">
        <v>269</v>
      </c>
      <c r="B109" s="114" t="s">
        <v>301</v>
      </c>
      <c r="C109" s="114">
        <v>26</v>
      </c>
      <c r="D109" s="114">
        <v>60</v>
      </c>
      <c r="E109" s="1" t="s">
        <v>266</v>
      </c>
      <c r="F109" s="35">
        <v>0</v>
      </c>
      <c r="G109" s="35">
        <v>500</v>
      </c>
      <c r="H109" s="127">
        <v>500</v>
      </c>
      <c r="I109" s="138">
        <v>2.5</v>
      </c>
      <c r="J109" s="138">
        <v>1.5</v>
      </c>
      <c r="K109" s="136"/>
      <c r="L109" s="130">
        <f>+I109*J109</f>
        <v>3.75</v>
      </c>
      <c r="M109" s="28">
        <f>+L109*$M$1</f>
        <v>120.75000000000001</v>
      </c>
      <c r="N109" s="162">
        <f>+M109/H109</f>
        <v>0.24150000000000002</v>
      </c>
      <c r="O109" s="131">
        <f t="shared" si="13"/>
        <v>241.50000000000003</v>
      </c>
      <c r="P109" s="130">
        <f t="shared" si="11"/>
        <v>0.1875</v>
      </c>
    </row>
    <row r="110" spans="1:16" hidden="1" x14ac:dyDescent="0.25">
      <c r="A110" s="114" t="s">
        <v>269</v>
      </c>
      <c r="B110" s="114" t="s">
        <v>271</v>
      </c>
      <c r="C110" s="114">
        <v>26</v>
      </c>
      <c r="D110" s="114">
        <v>60</v>
      </c>
      <c r="E110" s="1" t="s">
        <v>264</v>
      </c>
      <c r="F110" s="35">
        <v>0</v>
      </c>
      <c r="G110" s="35">
        <v>500</v>
      </c>
      <c r="H110" s="127">
        <v>500</v>
      </c>
      <c r="I110" s="138">
        <v>2.5</v>
      </c>
      <c r="J110" s="138">
        <v>1.5</v>
      </c>
      <c r="K110" s="136"/>
      <c r="L110" s="130">
        <f>+I110*J110</f>
        <v>3.75</v>
      </c>
      <c r="M110" s="28">
        <f>+L110*$M$1</f>
        <v>120.75000000000001</v>
      </c>
      <c r="N110" s="162">
        <f>+M110/H110</f>
        <v>0.24150000000000002</v>
      </c>
      <c r="O110" s="131">
        <f t="shared" si="13"/>
        <v>241.50000000000003</v>
      </c>
      <c r="P110" s="130">
        <f t="shared" si="11"/>
        <v>0.1875</v>
      </c>
    </row>
    <row r="111" spans="1:16" hidden="1" x14ac:dyDescent="0.25">
      <c r="A111" s="114" t="s">
        <v>269</v>
      </c>
      <c r="B111" s="114" t="s">
        <v>301</v>
      </c>
      <c r="C111" s="114">
        <v>26</v>
      </c>
      <c r="D111" s="114">
        <v>60</v>
      </c>
      <c r="E111" s="1" t="s">
        <v>17</v>
      </c>
      <c r="F111" s="35">
        <v>0</v>
      </c>
      <c r="G111" s="35">
        <v>500</v>
      </c>
      <c r="H111" s="127">
        <v>500</v>
      </c>
      <c r="I111" s="138">
        <v>3.5</v>
      </c>
      <c r="J111" s="138">
        <v>1</v>
      </c>
      <c r="K111" s="137"/>
      <c r="L111" s="130">
        <f>+I111*J111</f>
        <v>3.5</v>
      </c>
      <c r="M111" s="28">
        <f>+L111*$M$1</f>
        <v>112.70000000000002</v>
      </c>
      <c r="N111" s="162">
        <f>+M111/H111</f>
        <v>0.22540000000000004</v>
      </c>
      <c r="O111" s="131">
        <f t="shared" si="13"/>
        <v>225.40000000000003</v>
      </c>
      <c r="P111" s="130">
        <f t="shared" si="11"/>
        <v>0.125</v>
      </c>
    </row>
    <row r="112" spans="1:16" hidden="1" x14ac:dyDescent="0.25">
      <c r="A112" s="114" t="s">
        <v>269</v>
      </c>
      <c r="B112" s="114" t="s">
        <v>271</v>
      </c>
      <c r="C112" s="114">
        <v>26</v>
      </c>
      <c r="D112" s="114">
        <v>60</v>
      </c>
      <c r="E112" s="1" t="s">
        <v>277</v>
      </c>
      <c r="F112" s="35">
        <v>0</v>
      </c>
      <c r="G112" s="35">
        <v>500</v>
      </c>
      <c r="H112" s="127">
        <v>500</v>
      </c>
      <c r="I112" s="138">
        <v>3.5</v>
      </c>
      <c r="J112" s="138">
        <v>1.5</v>
      </c>
      <c r="K112" s="136"/>
      <c r="L112" s="130">
        <f>+I112*J112</f>
        <v>5.25</v>
      </c>
      <c r="M112" s="28">
        <f>+L112*$M$1</f>
        <v>169.05</v>
      </c>
      <c r="N112" s="162">
        <f>+M112/H112</f>
        <v>0.33810000000000001</v>
      </c>
      <c r="O112" s="131">
        <f t="shared" si="13"/>
        <v>338.1</v>
      </c>
      <c r="P112" s="130">
        <f t="shared" si="11"/>
        <v>0.1875</v>
      </c>
    </row>
    <row r="113" spans="1:16" hidden="1" x14ac:dyDescent="0.25">
      <c r="A113" s="114" t="s">
        <v>269</v>
      </c>
      <c r="B113" s="114" t="s">
        <v>301</v>
      </c>
      <c r="C113" s="114">
        <v>26</v>
      </c>
      <c r="D113" s="114">
        <v>60</v>
      </c>
      <c r="E113" s="1" t="s">
        <v>50</v>
      </c>
      <c r="F113" s="35">
        <v>0</v>
      </c>
      <c r="G113" s="35">
        <v>500</v>
      </c>
      <c r="H113" s="127">
        <v>500</v>
      </c>
      <c r="I113" s="138">
        <v>4.5</v>
      </c>
      <c r="J113" s="138">
        <v>2.5</v>
      </c>
      <c r="K113" s="137"/>
      <c r="L113" s="130">
        <f>+I113*J113</f>
        <v>11.25</v>
      </c>
      <c r="M113" s="28">
        <f>+L113*$M$1</f>
        <v>362.25000000000006</v>
      </c>
      <c r="N113" s="162">
        <f>+M113/H113</f>
        <v>0.72450000000000014</v>
      </c>
      <c r="O113" s="131">
        <f t="shared" si="13"/>
        <v>724.50000000000011</v>
      </c>
      <c r="P113" s="130">
        <f t="shared" si="11"/>
        <v>0.3125</v>
      </c>
    </row>
    <row r="114" spans="1:16" hidden="1" x14ac:dyDescent="0.25">
      <c r="A114" s="114" t="s">
        <v>269</v>
      </c>
      <c r="B114" s="114" t="s">
        <v>271</v>
      </c>
      <c r="C114" s="114">
        <v>26</v>
      </c>
      <c r="D114" s="114">
        <v>60</v>
      </c>
      <c r="E114" s="1" t="s">
        <v>50</v>
      </c>
      <c r="F114" s="35">
        <v>0</v>
      </c>
      <c r="G114" s="35">
        <v>500</v>
      </c>
      <c r="H114" s="127">
        <v>500</v>
      </c>
      <c r="I114" s="138">
        <v>5.5</v>
      </c>
      <c r="J114" s="138">
        <v>2.5</v>
      </c>
      <c r="K114" s="136"/>
      <c r="L114" s="130">
        <f>+I114*J114</f>
        <v>13.75</v>
      </c>
      <c r="M114" s="28">
        <f>+L114*$M$1</f>
        <v>442.75000000000006</v>
      </c>
      <c r="N114" s="162">
        <f>+M114/H114</f>
        <v>0.88550000000000006</v>
      </c>
      <c r="O114" s="131">
        <f t="shared" si="13"/>
        <v>885.50000000000011</v>
      </c>
      <c r="P114" s="130">
        <f t="shared" si="11"/>
        <v>0.3125</v>
      </c>
    </row>
    <row r="115" spans="1:16" hidden="1" x14ac:dyDescent="0.25">
      <c r="A115" s="114" t="s">
        <v>269</v>
      </c>
      <c r="B115" s="114" t="s">
        <v>271</v>
      </c>
      <c r="C115" s="114">
        <v>26</v>
      </c>
      <c r="D115" s="114">
        <v>60</v>
      </c>
      <c r="E115" s="1" t="s">
        <v>273</v>
      </c>
      <c r="F115" s="35">
        <v>0</v>
      </c>
      <c r="G115" s="35">
        <v>500</v>
      </c>
      <c r="H115" s="127">
        <v>500</v>
      </c>
      <c r="I115" s="138">
        <v>4.5</v>
      </c>
      <c r="J115" s="138">
        <v>1.5</v>
      </c>
      <c r="K115" s="136"/>
      <c r="L115" s="130">
        <f>+I115*J115</f>
        <v>6.75</v>
      </c>
      <c r="M115" s="28">
        <f>+L115*$M$1</f>
        <v>217.35000000000002</v>
      </c>
      <c r="N115" s="162">
        <f>+M115/H115</f>
        <v>0.43470000000000003</v>
      </c>
      <c r="O115" s="131">
        <f t="shared" ref="O115:O119" si="14">+N115*1000</f>
        <v>434.70000000000005</v>
      </c>
      <c r="P115" s="130">
        <f t="shared" si="11"/>
        <v>0.1875</v>
      </c>
    </row>
    <row r="116" spans="1:16" hidden="1" x14ac:dyDescent="0.25">
      <c r="A116" s="114" t="s">
        <v>269</v>
      </c>
      <c r="B116" s="114" t="s">
        <v>301</v>
      </c>
      <c r="C116" s="114">
        <v>26</v>
      </c>
      <c r="D116" s="114">
        <v>60</v>
      </c>
      <c r="E116" s="1" t="s">
        <v>263</v>
      </c>
      <c r="F116" s="35">
        <v>501</v>
      </c>
      <c r="G116" s="35">
        <v>1000</v>
      </c>
      <c r="H116" s="127">
        <v>1000</v>
      </c>
      <c r="I116" s="138">
        <v>1.5</v>
      </c>
      <c r="J116" s="138">
        <v>1.5</v>
      </c>
      <c r="K116" s="136"/>
      <c r="L116" s="130">
        <f>+I116*J116</f>
        <v>2.25</v>
      </c>
      <c r="M116" s="28">
        <f>+L116*$M$1</f>
        <v>72.45</v>
      </c>
      <c r="N116" s="162">
        <f>+M116/H116</f>
        <v>7.2450000000000001E-2</v>
      </c>
      <c r="O116" s="131">
        <f t="shared" si="14"/>
        <v>72.45</v>
      </c>
      <c r="P116" s="130">
        <f t="shared" si="11"/>
        <v>0.1875</v>
      </c>
    </row>
    <row r="117" spans="1:16" hidden="1" x14ac:dyDescent="0.25">
      <c r="A117" s="114" t="s">
        <v>269</v>
      </c>
      <c r="B117" s="114" t="s">
        <v>301</v>
      </c>
      <c r="C117" s="114">
        <v>26</v>
      </c>
      <c r="D117" s="114">
        <v>60</v>
      </c>
      <c r="E117" s="1" t="s">
        <v>265</v>
      </c>
      <c r="F117" s="35">
        <v>501</v>
      </c>
      <c r="G117" s="35">
        <v>1000</v>
      </c>
      <c r="H117" s="127">
        <v>1000</v>
      </c>
      <c r="I117" s="138">
        <v>1.5</v>
      </c>
      <c r="J117" s="138">
        <v>2</v>
      </c>
      <c r="K117" s="136"/>
      <c r="L117" s="130">
        <f>+I117*J117</f>
        <v>3</v>
      </c>
      <c r="M117" s="28">
        <f>+L117*$M$1</f>
        <v>96.600000000000009</v>
      </c>
      <c r="N117" s="162">
        <f>+M117/H117</f>
        <v>9.6600000000000005E-2</v>
      </c>
      <c r="O117" s="131">
        <f t="shared" si="14"/>
        <v>96.600000000000009</v>
      </c>
      <c r="P117" s="130">
        <f t="shared" si="11"/>
        <v>0.25</v>
      </c>
    </row>
    <row r="118" spans="1:16" x14ac:dyDescent="0.25">
      <c r="A118" s="114" t="s">
        <v>270</v>
      </c>
      <c r="B118" s="114" t="s">
        <v>301</v>
      </c>
      <c r="C118" s="114">
        <v>151</v>
      </c>
      <c r="D118" s="114">
        <v>300</v>
      </c>
      <c r="E118" s="1" t="s">
        <v>264</v>
      </c>
      <c r="F118" s="35">
        <v>501</v>
      </c>
      <c r="G118" s="35">
        <v>1000</v>
      </c>
      <c r="H118" s="127">
        <v>1000</v>
      </c>
      <c r="I118" s="138">
        <v>2.5</v>
      </c>
      <c r="J118" s="138">
        <v>2</v>
      </c>
      <c r="K118" s="136"/>
      <c r="L118" s="130">
        <f>+I118*J118</f>
        <v>5</v>
      </c>
      <c r="M118" s="28">
        <f>+L118*$M$1</f>
        <v>161</v>
      </c>
      <c r="N118" s="162">
        <f>+M118/H118</f>
        <v>0.161</v>
      </c>
      <c r="O118" s="131">
        <f t="shared" si="14"/>
        <v>161</v>
      </c>
      <c r="P118" s="130">
        <f t="shared" si="11"/>
        <v>0.25</v>
      </c>
    </row>
    <row r="119" spans="1:16" x14ac:dyDescent="0.25">
      <c r="A119" s="114" t="s">
        <v>270</v>
      </c>
      <c r="B119" s="114" t="s">
        <v>301</v>
      </c>
      <c r="C119" s="114">
        <v>301</v>
      </c>
      <c r="D119" s="114">
        <v>500</v>
      </c>
      <c r="E119" s="1" t="s">
        <v>264</v>
      </c>
      <c r="F119" s="35">
        <v>501</v>
      </c>
      <c r="G119" s="35">
        <v>1000</v>
      </c>
      <c r="H119" s="127">
        <v>1000</v>
      </c>
      <c r="I119" s="138">
        <v>2.5</v>
      </c>
      <c r="J119" s="138">
        <v>2</v>
      </c>
      <c r="K119" s="136"/>
      <c r="L119" s="130">
        <f>+I119*J119</f>
        <v>5</v>
      </c>
      <c r="M119" s="28">
        <f>+L119*$M$1</f>
        <v>161</v>
      </c>
      <c r="N119" s="162">
        <f>+M119/H119</f>
        <v>0.161</v>
      </c>
      <c r="O119" s="131">
        <f t="shared" si="14"/>
        <v>161</v>
      </c>
      <c r="P119" s="130">
        <f t="shared" si="11"/>
        <v>0.25</v>
      </c>
    </row>
    <row r="120" spans="1:16" x14ac:dyDescent="0.25">
      <c r="A120" s="114" t="s">
        <v>270</v>
      </c>
      <c r="B120" s="114" t="s">
        <v>301</v>
      </c>
      <c r="C120" s="114">
        <v>501</v>
      </c>
      <c r="D120" s="114">
        <v>1000</v>
      </c>
      <c r="E120" s="1" t="s">
        <v>264</v>
      </c>
      <c r="F120" s="35">
        <v>501</v>
      </c>
      <c r="G120" s="35">
        <v>1000</v>
      </c>
      <c r="H120" s="127">
        <v>1000</v>
      </c>
      <c r="I120" s="138">
        <v>2.5</v>
      </c>
      <c r="J120" s="138">
        <v>2</v>
      </c>
      <c r="K120" s="136"/>
      <c r="L120" s="130">
        <f>+I120*J120</f>
        <v>5</v>
      </c>
      <c r="M120" s="28">
        <f>+L120*$M$1</f>
        <v>161</v>
      </c>
      <c r="N120" s="162">
        <f>+M120/H120</f>
        <v>0.161</v>
      </c>
      <c r="O120" s="131">
        <f t="shared" ref="O120:O149" si="15">+N120*1000</f>
        <v>161</v>
      </c>
      <c r="P120" s="130">
        <f t="shared" si="11"/>
        <v>0.25</v>
      </c>
    </row>
    <row r="121" spans="1:16" hidden="1" x14ac:dyDescent="0.25">
      <c r="A121" s="114" t="s">
        <v>269</v>
      </c>
      <c r="B121" s="114" t="s">
        <v>271</v>
      </c>
      <c r="C121" s="114">
        <v>26</v>
      </c>
      <c r="D121" s="114">
        <v>60</v>
      </c>
      <c r="E121" s="1" t="s">
        <v>263</v>
      </c>
      <c r="F121" s="35">
        <v>501</v>
      </c>
      <c r="G121" s="35">
        <v>1000</v>
      </c>
      <c r="H121" s="127">
        <v>1000</v>
      </c>
      <c r="I121" s="138">
        <v>1.5</v>
      </c>
      <c r="J121" s="138">
        <v>1.5</v>
      </c>
      <c r="K121" s="136"/>
      <c r="L121" s="130">
        <f>+I121*J121</f>
        <v>2.25</v>
      </c>
      <c r="M121" s="28">
        <f>+L121*$M$1</f>
        <v>72.45</v>
      </c>
      <c r="N121" s="162">
        <f>+M121/H121</f>
        <v>7.2450000000000001E-2</v>
      </c>
      <c r="O121" s="131">
        <f t="shared" si="15"/>
        <v>72.45</v>
      </c>
      <c r="P121" s="130">
        <f t="shared" si="11"/>
        <v>0.1875</v>
      </c>
    </row>
    <row r="122" spans="1:16" hidden="1" x14ac:dyDescent="0.25">
      <c r="A122" s="114" t="s">
        <v>269</v>
      </c>
      <c r="B122" s="114" t="s">
        <v>271</v>
      </c>
      <c r="C122" s="114">
        <v>26</v>
      </c>
      <c r="D122" s="114">
        <v>60</v>
      </c>
      <c r="E122" s="1" t="s">
        <v>265</v>
      </c>
      <c r="F122" s="35">
        <v>501</v>
      </c>
      <c r="G122" s="35">
        <v>1000</v>
      </c>
      <c r="H122" s="127">
        <v>1000</v>
      </c>
      <c r="I122" s="138">
        <v>1.5</v>
      </c>
      <c r="J122" s="138">
        <v>2.5</v>
      </c>
      <c r="K122" s="136"/>
      <c r="L122" s="130">
        <f>+I122*J122</f>
        <v>3.75</v>
      </c>
      <c r="M122" s="28">
        <f>+L122*$M$1</f>
        <v>120.75000000000001</v>
      </c>
      <c r="N122" s="162">
        <f>+M122/H122</f>
        <v>0.12075000000000001</v>
      </c>
      <c r="O122" s="131">
        <f t="shared" si="15"/>
        <v>120.75000000000001</v>
      </c>
      <c r="P122" s="130">
        <f t="shared" si="11"/>
        <v>0.3125</v>
      </c>
    </row>
    <row r="123" spans="1:16" hidden="1" x14ac:dyDescent="0.25">
      <c r="A123" s="114" t="s">
        <v>269</v>
      </c>
      <c r="B123" s="114" t="s">
        <v>301</v>
      </c>
      <c r="C123" s="114">
        <v>26</v>
      </c>
      <c r="D123" s="114">
        <v>60</v>
      </c>
      <c r="E123" s="1" t="s">
        <v>264</v>
      </c>
      <c r="F123" s="35">
        <v>501</v>
      </c>
      <c r="G123" s="35">
        <v>1000</v>
      </c>
      <c r="H123" s="127">
        <v>1000</v>
      </c>
      <c r="I123" s="138">
        <v>2.5</v>
      </c>
      <c r="J123" s="138">
        <v>1.5</v>
      </c>
      <c r="K123" s="136"/>
      <c r="L123" s="130">
        <f>+I123*J123</f>
        <v>3.75</v>
      </c>
      <c r="M123" s="28">
        <f>+L123*$M$1</f>
        <v>120.75000000000001</v>
      </c>
      <c r="N123" s="162">
        <f>+M123/H123</f>
        <v>0.12075000000000001</v>
      </c>
      <c r="O123" s="131">
        <f t="shared" si="15"/>
        <v>120.75000000000001</v>
      </c>
      <c r="P123" s="130">
        <f t="shared" si="11"/>
        <v>0.1875</v>
      </c>
    </row>
    <row r="124" spans="1:16" hidden="1" x14ac:dyDescent="0.25">
      <c r="A124" s="114" t="s">
        <v>269</v>
      </c>
      <c r="B124" s="114" t="s">
        <v>301</v>
      </c>
      <c r="C124" s="114">
        <v>26</v>
      </c>
      <c r="D124" s="114">
        <v>60</v>
      </c>
      <c r="E124" s="1" t="s">
        <v>266</v>
      </c>
      <c r="F124" s="35">
        <v>501</v>
      </c>
      <c r="G124" s="35">
        <v>1000</v>
      </c>
      <c r="H124" s="127">
        <v>1000</v>
      </c>
      <c r="I124" s="138">
        <v>2.5</v>
      </c>
      <c r="J124" s="138">
        <v>2</v>
      </c>
      <c r="K124" s="136"/>
      <c r="L124" s="130">
        <f>+I124*J124</f>
        <v>5</v>
      </c>
      <c r="M124" s="28">
        <f>+L124*$M$1</f>
        <v>161</v>
      </c>
      <c r="N124" s="162">
        <f>+M124/H124</f>
        <v>0.161</v>
      </c>
      <c r="O124" s="131">
        <f t="shared" si="15"/>
        <v>161</v>
      </c>
      <c r="P124" s="130">
        <f t="shared" si="11"/>
        <v>0.25</v>
      </c>
    </row>
    <row r="125" spans="1:16" hidden="1" x14ac:dyDescent="0.25">
      <c r="A125" s="114" t="s">
        <v>269</v>
      </c>
      <c r="B125" s="114" t="s">
        <v>271</v>
      </c>
      <c r="C125" s="114">
        <v>26</v>
      </c>
      <c r="D125" s="114">
        <v>60</v>
      </c>
      <c r="E125" s="1" t="s">
        <v>264</v>
      </c>
      <c r="F125" s="35">
        <v>501</v>
      </c>
      <c r="G125" s="35">
        <v>1000</v>
      </c>
      <c r="H125" s="127">
        <v>1000</v>
      </c>
      <c r="I125" s="138">
        <v>2.5</v>
      </c>
      <c r="J125" s="138">
        <v>1.5</v>
      </c>
      <c r="K125" s="136"/>
      <c r="L125" s="130">
        <f>+I125*J125</f>
        <v>3.75</v>
      </c>
      <c r="M125" s="28">
        <f>+L125*$M$1</f>
        <v>120.75000000000001</v>
      </c>
      <c r="N125" s="162">
        <f>+M125/H125</f>
        <v>0.12075000000000001</v>
      </c>
      <c r="O125" s="131">
        <f t="shared" si="15"/>
        <v>120.75000000000001</v>
      </c>
      <c r="P125" s="130">
        <f t="shared" si="11"/>
        <v>0.1875</v>
      </c>
    </row>
    <row r="126" spans="1:16" hidden="1" x14ac:dyDescent="0.25">
      <c r="A126" s="114" t="s">
        <v>269</v>
      </c>
      <c r="B126" s="114" t="s">
        <v>271</v>
      </c>
      <c r="C126" s="114">
        <v>26</v>
      </c>
      <c r="D126" s="114">
        <v>60</v>
      </c>
      <c r="E126" s="1" t="s">
        <v>266</v>
      </c>
      <c r="F126" s="35">
        <v>501</v>
      </c>
      <c r="G126" s="35">
        <v>1000</v>
      </c>
      <c r="H126" s="127">
        <v>1000</v>
      </c>
      <c r="I126" s="138">
        <v>2.5</v>
      </c>
      <c r="J126" s="138">
        <v>2.5</v>
      </c>
      <c r="K126" s="136"/>
      <c r="L126" s="130">
        <f>+I126*J126</f>
        <v>6.25</v>
      </c>
      <c r="M126" s="28">
        <f>+L126*$M$1</f>
        <v>201.25000000000003</v>
      </c>
      <c r="N126" s="162">
        <f>+M126/H126</f>
        <v>0.20125000000000004</v>
      </c>
      <c r="O126" s="131">
        <f t="shared" si="15"/>
        <v>201.25000000000003</v>
      </c>
      <c r="P126" s="130">
        <f t="shared" si="11"/>
        <v>0.3125</v>
      </c>
    </row>
    <row r="127" spans="1:16" hidden="1" x14ac:dyDescent="0.25">
      <c r="A127" s="114" t="s">
        <v>269</v>
      </c>
      <c r="B127" s="114" t="s">
        <v>301</v>
      </c>
      <c r="C127" s="114">
        <v>26</v>
      </c>
      <c r="D127" s="114">
        <v>60</v>
      </c>
      <c r="E127" s="1" t="s">
        <v>17</v>
      </c>
      <c r="F127" s="35">
        <v>501</v>
      </c>
      <c r="G127" s="35">
        <v>1000</v>
      </c>
      <c r="H127" s="127">
        <v>1000</v>
      </c>
      <c r="I127" s="138">
        <v>3.5</v>
      </c>
      <c r="J127" s="138">
        <v>1.5</v>
      </c>
      <c r="K127" s="137"/>
      <c r="L127" s="130">
        <f>+I127*J127</f>
        <v>5.25</v>
      </c>
      <c r="M127" s="28">
        <f>+L127*$M$1</f>
        <v>169.05</v>
      </c>
      <c r="N127" s="162">
        <f>+M127/H127</f>
        <v>0.16905000000000001</v>
      </c>
      <c r="O127" s="131">
        <f t="shared" si="15"/>
        <v>169.05</v>
      </c>
      <c r="P127" s="130">
        <f t="shared" si="11"/>
        <v>0.1875</v>
      </c>
    </row>
    <row r="128" spans="1:16" hidden="1" x14ac:dyDescent="0.25">
      <c r="A128" s="114" t="s">
        <v>269</v>
      </c>
      <c r="B128" s="114" t="s">
        <v>271</v>
      </c>
      <c r="C128" s="114">
        <v>26</v>
      </c>
      <c r="D128" s="114">
        <v>60</v>
      </c>
      <c r="E128" s="1" t="s">
        <v>277</v>
      </c>
      <c r="F128" s="35">
        <v>501</v>
      </c>
      <c r="G128" s="35">
        <v>1000</v>
      </c>
      <c r="H128" s="127">
        <v>1000</v>
      </c>
      <c r="I128" s="138">
        <v>3.5</v>
      </c>
      <c r="J128" s="138">
        <v>2</v>
      </c>
      <c r="K128" s="136"/>
      <c r="L128" s="130">
        <f>+I128*J128</f>
        <v>7</v>
      </c>
      <c r="M128" s="28">
        <f>+L128*$M$1</f>
        <v>225.40000000000003</v>
      </c>
      <c r="N128" s="162">
        <f>+M128/H128</f>
        <v>0.22540000000000004</v>
      </c>
      <c r="O128" s="131">
        <f t="shared" si="15"/>
        <v>225.40000000000003</v>
      </c>
      <c r="P128" s="130">
        <f t="shared" si="11"/>
        <v>0.25</v>
      </c>
    </row>
    <row r="129" spans="1:16" hidden="1" x14ac:dyDescent="0.25">
      <c r="A129" s="114" t="s">
        <v>269</v>
      </c>
      <c r="B129" s="114" t="s">
        <v>301</v>
      </c>
      <c r="C129" s="114">
        <v>26</v>
      </c>
      <c r="D129" s="114">
        <v>60</v>
      </c>
      <c r="E129" s="1" t="s">
        <v>50</v>
      </c>
      <c r="F129" s="35">
        <v>501</v>
      </c>
      <c r="G129" s="35">
        <v>1000</v>
      </c>
      <c r="H129" s="127">
        <v>1000</v>
      </c>
      <c r="I129" s="138">
        <v>4.5</v>
      </c>
      <c r="J129" s="139">
        <v>3</v>
      </c>
      <c r="K129" s="137"/>
      <c r="L129" s="130">
        <f>+I129*J129</f>
        <v>13.5</v>
      </c>
      <c r="M129" s="28">
        <f>+L129*$M$1</f>
        <v>434.70000000000005</v>
      </c>
      <c r="N129" s="162">
        <f>+M129/H129</f>
        <v>0.43470000000000003</v>
      </c>
      <c r="O129" s="131">
        <f t="shared" si="15"/>
        <v>434.70000000000005</v>
      </c>
      <c r="P129" s="130">
        <f t="shared" si="11"/>
        <v>0.375</v>
      </c>
    </row>
    <row r="130" spans="1:16" hidden="1" x14ac:dyDescent="0.25">
      <c r="A130" s="114" t="s">
        <v>269</v>
      </c>
      <c r="B130" s="114" t="s">
        <v>271</v>
      </c>
      <c r="C130" s="114">
        <v>26</v>
      </c>
      <c r="D130" s="114">
        <v>60</v>
      </c>
      <c r="E130" s="1" t="s">
        <v>50</v>
      </c>
      <c r="F130" s="35">
        <v>501</v>
      </c>
      <c r="G130" s="35">
        <v>1000</v>
      </c>
      <c r="H130" s="127">
        <v>1000</v>
      </c>
      <c r="I130" s="138">
        <v>5.5</v>
      </c>
      <c r="J130" s="139">
        <v>3</v>
      </c>
      <c r="K130" s="136"/>
      <c r="L130" s="130">
        <f>+I130*J130</f>
        <v>16.5</v>
      </c>
      <c r="M130" s="28">
        <f>+L130*$M$1</f>
        <v>531.30000000000007</v>
      </c>
      <c r="N130" s="162">
        <f>+M130/H130</f>
        <v>0.53130000000000011</v>
      </c>
      <c r="O130" s="131">
        <f t="shared" si="15"/>
        <v>531.30000000000007</v>
      </c>
      <c r="P130" s="130">
        <f t="shared" si="11"/>
        <v>0.375</v>
      </c>
    </row>
    <row r="131" spans="1:16" hidden="1" x14ac:dyDescent="0.25">
      <c r="A131" s="114" t="s">
        <v>269</v>
      </c>
      <c r="B131" s="114" t="s">
        <v>301</v>
      </c>
      <c r="C131" s="114">
        <v>26</v>
      </c>
      <c r="D131" s="114">
        <v>60</v>
      </c>
      <c r="E131" s="1" t="s">
        <v>18</v>
      </c>
      <c r="F131" s="35">
        <v>0</v>
      </c>
      <c r="G131" s="35">
        <v>500</v>
      </c>
      <c r="H131" s="127">
        <v>500</v>
      </c>
      <c r="I131" s="138">
        <v>3.5</v>
      </c>
      <c r="J131" s="138">
        <v>2.5</v>
      </c>
      <c r="K131" s="137"/>
      <c r="L131">
        <f>+I131*J131</f>
        <v>8.75</v>
      </c>
      <c r="M131" s="28">
        <f>+L131*$M$1</f>
        <v>281.75</v>
      </c>
      <c r="N131" s="162">
        <f>+M131/H131</f>
        <v>0.5635</v>
      </c>
      <c r="O131" s="131">
        <f t="shared" si="15"/>
        <v>563.5</v>
      </c>
      <c r="P131" s="130">
        <f t="shared" si="11"/>
        <v>0.3125</v>
      </c>
    </row>
    <row r="132" spans="1:16" hidden="1" x14ac:dyDescent="0.25">
      <c r="A132" s="114" t="s">
        <v>269</v>
      </c>
      <c r="B132" s="114" t="s">
        <v>271</v>
      </c>
      <c r="C132" s="114">
        <v>26</v>
      </c>
      <c r="D132" s="114">
        <v>60</v>
      </c>
      <c r="E132" s="1" t="s">
        <v>18</v>
      </c>
      <c r="F132" s="35">
        <v>0</v>
      </c>
      <c r="G132" s="35">
        <v>500</v>
      </c>
      <c r="H132" s="127">
        <v>500</v>
      </c>
      <c r="I132" s="138">
        <v>4.5</v>
      </c>
      <c r="J132" s="138">
        <v>2.5</v>
      </c>
      <c r="K132" s="136"/>
      <c r="L132">
        <f>+I132*J132</f>
        <v>11.25</v>
      </c>
      <c r="M132" s="28">
        <f>+L132*$M$1</f>
        <v>362.25000000000006</v>
      </c>
      <c r="N132" s="162">
        <f>+M132/H132</f>
        <v>0.72450000000000014</v>
      </c>
      <c r="O132" s="131">
        <f t="shared" si="15"/>
        <v>724.50000000000011</v>
      </c>
      <c r="P132" s="130">
        <f t="shared" si="11"/>
        <v>0.3125</v>
      </c>
    </row>
    <row r="133" spans="1:16" hidden="1" x14ac:dyDescent="0.25">
      <c r="A133" s="114" t="s">
        <v>269</v>
      </c>
      <c r="B133" s="114" t="s">
        <v>271</v>
      </c>
      <c r="C133" s="114">
        <v>26</v>
      </c>
      <c r="D133" s="114">
        <v>60</v>
      </c>
      <c r="E133" s="1" t="s">
        <v>273</v>
      </c>
      <c r="F133" s="35">
        <v>501</v>
      </c>
      <c r="G133" s="35">
        <v>1000</v>
      </c>
      <c r="H133" s="127">
        <v>1000</v>
      </c>
      <c r="I133" s="138">
        <v>4.5</v>
      </c>
      <c r="J133" s="138">
        <v>2</v>
      </c>
      <c r="K133" s="136"/>
      <c r="L133" s="130">
        <f>+I133*J133</f>
        <v>9</v>
      </c>
      <c r="M133" s="28">
        <f>+L133*$M$1</f>
        <v>289.8</v>
      </c>
      <c r="N133" s="162">
        <f>+M133/H133</f>
        <v>0.2898</v>
      </c>
      <c r="O133" s="131">
        <f t="shared" si="15"/>
        <v>289.8</v>
      </c>
      <c r="P133" s="130">
        <f t="shared" si="11"/>
        <v>0.25</v>
      </c>
    </row>
    <row r="134" spans="1:16" hidden="1" x14ac:dyDescent="0.25">
      <c r="A134" s="114" t="s">
        <v>269</v>
      </c>
      <c r="B134" s="114" t="s">
        <v>301</v>
      </c>
      <c r="C134" s="114">
        <v>26</v>
      </c>
      <c r="D134" s="114">
        <v>60</v>
      </c>
      <c r="E134" s="1" t="s">
        <v>18</v>
      </c>
      <c r="F134" s="35">
        <v>501</v>
      </c>
      <c r="G134" s="35">
        <v>1000</v>
      </c>
      <c r="H134" s="127">
        <v>1000</v>
      </c>
      <c r="I134" s="138">
        <v>3.5</v>
      </c>
      <c r="J134" s="139">
        <v>3</v>
      </c>
      <c r="K134" s="137"/>
      <c r="L134">
        <f>+I134*J134</f>
        <v>10.5</v>
      </c>
      <c r="M134" s="28">
        <f>+L134*$M$1</f>
        <v>338.1</v>
      </c>
      <c r="N134" s="162">
        <f>+M134/H134</f>
        <v>0.33810000000000001</v>
      </c>
      <c r="O134" s="131">
        <f t="shared" si="15"/>
        <v>338.1</v>
      </c>
      <c r="P134" s="130">
        <f t="shared" si="11"/>
        <v>0.375</v>
      </c>
    </row>
    <row r="135" spans="1:16" hidden="1" x14ac:dyDescent="0.25">
      <c r="A135" s="114" t="s">
        <v>269</v>
      </c>
      <c r="B135" s="114" t="s">
        <v>271</v>
      </c>
      <c r="C135" s="114">
        <v>26</v>
      </c>
      <c r="D135" s="114">
        <v>60</v>
      </c>
      <c r="E135" s="1" t="s">
        <v>18</v>
      </c>
      <c r="F135" s="35">
        <v>501</v>
      </c>
      <c r="G135" s="35">
        <v>1000</v>
      </c>
      <c r="H135" s="127">
        <v>1000</v>
      </c>
      <c r="I135" s="138">
        <v>4.5</v>
      </c>
      <c r="J135" s="139">
        <v>3</v>
      </c>
      <c r="K135" s="136"/>
      <c r="L135">
        <f>+I135*J135</f>
        <v>13.5</v>
      </c>
      <c r="M135" s="28">
        <f>+L135*$M$1</f>
        <v>434.70000000000005</v>
      </c>
      <c r="N135" s="162">
        <f>+M135/H135</f>
        <v>0.43470000000000003</v>
      </c>
      <c r="O135" s="131">
        <f t="shared" si="15"/>
        <v>434.70000000000005</v>
      </c>
      <c r="P135" s="130">
        <f t="shared" si="11"/>
        <v>0.375</v>
      </c>
    </row>
    <row r="136" spans="1:16" x14ac:dyDescent="0.25">
      <c r="A136" s="114" t="s">
        <v>270</v>
      </c>
      <c r="B136" s="114" t="s">
        <v>301</v>
      </c>
      <c r="C136" s="114">
        <v>151</v>
      </c>
      <c r="D136" s="114">
        <v>300</v>
      </c>
      <c r="E136" s="1" t="s">
        <v>17</v>
      </c>
      <c r="F136" s="35">
        <v>501</v>
      </c>
      <c r="G136" s="35">
        <v>1000</v>
      </c>
      <c r="H136" s="127">
        <v>1000</v>
      </c>
      <c r="I136" s="138">
        <v>3.5</v>
      </c>
      <c r="J136" s="138">
        <v>2</v>
      </c>
      <c r="K136" s="136"/>
      <c r="L136" s="130">
        <f>+I136*J136</f>
        <v>7</v>
      </c>
      <c r="M136" s="28">
        <f>+L136*$M$1</f>
        <v>225.40000000000003</v>
      </c>
      <c r="N136" s="162">
        <f>+M136/H136</f>
        <v>0.22540000000000004</v>
      </c>
      <c r="O136" s="131">
        <f t="shared" si="15"/>
        <v>225.40000000000003</v>
      </c>
      <c r="P136" s="130">
        <f t="shared" si="11"/>
        <v>0.25</v>
      </c>
    </row>
    <row r="137" spans="1:16" x14ac:dyDescent="0.25">
      <c r="A137" s="114" t="s">
        <v>270</v>
      </c>
      <c r="B137" s="114" t="s">
        <v>301</v>
      </c>
      <c r="C137" s="114">
        <v>301</v>
      </c>
      <c r="D137" s="114">
        <v>500</v>
      </c>
      <c r="E137" s="1" t="s">
        <v>17</v>
      </c>
      <c r="F137" s="35">
        <v>501</v>
      </c>
      <c r="G137" s="35">
        <v>1000</v>
      </c>
      <c r="H137" s="127">
        <v>1000</v>
      </c>
      <c r="I137" s="138">
        <v>3.5</v>
      </c>
      <c r="J137" s="138">
        <v>2</v>
      </c>
      <c r="K137" s="136"/>
      <c r="L137" s="130">
        <f>+I137*J137</f>
        <v>7</v>
      </c>
      <c r="M137" s="28">
        <f>+L137*$M$1</f>
        <v>225.40000000000003</v>
      </c>
      <c r="N137" s="162">
        <f>+M137/H137</f>
        <v>0.22540000000000004</v>
      </c>
      <c r="O137" s="131">
        <f t="shared" si="15"/>
        <v>225.40000000000003</v>
      </c>
      <c r="P137" s="130">
        <f t="shared" si="11"/>
        <v>0.25</v>
      </c>
    </row>
    <row r="138" spans="1:16" x14ac:dyDescent="0.25">
      <c r="A138" s="114" t="s">
        <v>270</v>
      </c>
      <c r="B138" s="114" t="s">
        <v>301</v>
      </c>
      <c r="C138" s="114">
        <v>501</v>
      </c>
      <c r="D138" s="114">
        <v>1000</v>
      </c>
      <c r="E138" s="1" t="s">
        <v>17</v>
      </c>
      <c r="F138" s="35">
        <v>501</v>
      </c>
      <c r="G138" s="35">
        <v>1000</v>
      </c>
      <c r="H138" s="127">
        <v>1000</v>
      </c>
      <c r="I138" s="138">
        <v>3.5</v>
      </c>
      <c r="J138" s="138">
        <v>2</v>
      </c>
      <c r="K138" s="136"/>
      <c r="L138" s="130">
        <f>+I138*J138</f>
        <v>7</v>
      </c>
      <c r="M138" s="28">
        <f>+L138*$M$1</f>
        <v>225.40000000000003</v>
      </c>
      <c r="N138" s="162">
        <f>+M138/H138</f>
        <v>0.22540000000000004</v>
      </c>
      <c r="O138" s="131">
        <f t="shared" si="15"/>
        <v>225.40000000000003</v>
      </c>
      <c r="P138" s="130">
        <f t="shared" si="11"/>
        <v>0.25</v>
      </c>
    </row>
    <row r="139" spans="1:16" hidden="1" x14ac:dyDescent="0.25">
      <c r="A139" s="114" t="s">
        <v>269</v>
      </c>
      <c r="B139" s="114" t="s">
        <v>301</v>
      </c>
      <c r="C139" s="114">
        <v>26</v>
      </c>
      <c r="D139" s="114">
        <v>60</v>
      </c>
      <c r="E139" s="1" t="s">
        <v>18</v>
      </c>
      <c r="F139" s="35">
        <v>1001</v>
      </c>
      <c r="G139" s="35">
        <v>2500</v>
      </c>
      <c r="H139" s="127">
        <v>2500</v>
      </c>
      <c r="I139" s="138">
        <v>3.5</v>
      </c>
      <c r="J139" s="137"/>
      <c r="K139" s="138">
        <v>500</v>
      </c>
      <c r="L139" s="130">
        <f>I139*(H139/K139)</f>
        <v>17.5</v>
      </c>
      <c r="M139" s="28">
        <f>+L139*$M$1</f>
        <v>563.5</v>
      </c>
      <c r="N139" s="162">
        <f>+M139/H139</f>
        <v>0.22539999999999999</v>
      </c>
      <c r="O139" s="131">
        <f t="shared" si="15"/>
        <v>225.39999999999998</v>
      </c>
      <c r="P139" s="130">
        <f t="shared" si="11"/>
        <v>0</v>
      </c>
    </row>
    <row r="140" spans="1:16" hidden="1" x14ac:dyDescent="0.25">
      <c r="A140" s="114" t="s">
        <v>269</v>
      </c>
      <c r="B140" s="114" t="s">
        <v>271</v>
      </c>
      <c r="C140" s="114">
        <v>26</v>
      </c>
      <c r="D140" s="114">
        <v>60</v>
      </c>
      <c r="E140" s="1" t="s">
        <v>18</v>
      </c>
      <c r="F140" s="35">
        <v>1001</v>
      </c>
      <c r="G140" s="35">
        <v>2500</v>
      </c>
      <c r="H140" s="127">
        <v>2500</v>
      </c>
      <c r="I140" s="138">
        <v>4.5</v>
      </c>
      <c r="J140" s="137"/>
      <c r="K140" s="138">
        <v>400</v>
      </c>
      <c r="L140" s="130">
        <f>I140*(H140/K140)</f>
        <v>28.125</v>
      </c>
      <c r="M140" s="28">
        <f>+L140*$M$1</f>
        <v>905.62500000000011</v>
      </c>
      <c r="N140" s="162">
        <f>+M140/H140</f>
        <v>0.36225000000000007</v>
      </c>
      <c r="O140" s="131">
        <f t="shared" si="15"/>
        <v>362.25000000000006</v>
      </c>
      <c r="P140" s="130">
        <f t="shared" si="11"/>
        <v>0</v>
      </c>
    </row>
    <row r="141" spans="1:16" hidden="1" x14ac:dyDescent="0.25">
      <c r="A141" s="114" t="s">
        <v>269</v>
      </c>
      <c r="B141" s="114" t="s">
        <v>301</v>
      </c>
      <c r="C141" s="114">
        <v>26</v>
      </c>
      <c r="D141" s="114">
        <v>60</v>
      </c>
      <c r="E141" s="1" t="s">
        <v>18</v>
      </c>
      <c r="F141" s="35">
        <v>2501</v>
      </c>
      <c r="G141" s="35">
        <v>5000</v>
      </c>
      <c r="H141" s="127">
        <v>5000</v>
      </c>
      <c r="I141" s="138">
        <v>3.5</v>
      </c>
      <c r="J141" s="137"/>
      <c r="K141" s="138">
        <v>600</v>
      </c>
      <c r="L141" s="130">
        <f>I141*(H141/K141)</f>
        <v>29.166666666666668</v>
      </c>
      <c r="M141" s="28">
        <f>+L141*$M$1</f>
        <v>939.16666666666674</v>
      </c>
      <c r="N141" s="162">
        <f>+M141/H141</f>
        <v>0.18783333333333335</v>
      </c>
      <c r="O141" s="131">
        <f t="shared" si="15"/>
        <v>187.83333333333334</v>
      </c>
      <c r="P141" s="130">
        <f t="shared" si="11"/>
        <v>0</v>
      </c>
    </row>
    <row r="142" spans="1:16" hidden="1" x14ac:dyDescent="0.25">
      <c r="A142" s="114" t="s">
        <v>269</v>
      </c>
      <c r="B142" s="114" t="s">
        <v>271</v>
      </c>
      <c r="C142" s="114">
        <v>26</v>
      </c>
      <c r="D142" s="114">
        <v>60</v>
      </c>
      <c r="E142" s="1" t="s">
        <v>18</v>
      </c>
      <c r="F142" s="35">
        <v>2501</v>
      </c>
      <c r="G142" s="35">
        <v>5000</v>
      </c>
      <c r="H142" s="127">
        <v>5000</v>
      </c>
      <c r="I142" s="138">
        <v>4.5</v>
      </c>
      <c r="J142" s="137"/>
      <c r="K142" s="138">
        <v>425</v>
      </c>
      <c r="L142" s="130">
        <f>I142*(H142/K142)</f>
        <v>52.941176470588239</v>
      </c>
      <c r="M142" s="28">
        <f>+L142*$M$1</f>
        <v>1704.7058823529414</v>
      </c>
      <c r="N142" s="162">
        <f>+M142/H142</f>
        <v>0.3409411764705883</v>
      </c>
      <c r="O142" s="131">
        <f t="shared" si="15"/>
        <v>340.94117647058829</v>
      </c>
      <c r="P142" s="130">
        <f t="shared" si="11"/>
        <v>0</v>
      </c>
    </row>
    <row r="143" spans="1:16" hidden="1" x14ac:dyDescent="0.25">
      <c r="A143" s="114" t="s">
        <v>269</v>
      </c>
      <c r="B143" s="114" t="s">
        <v>301</v>
      </c>
      <c r="C143" s="114">
        <v>26</v>
      </c>
      <c r="D143" s="114">
        <v>60</v>
      </c>
      <c r="E143" s="1" t="s">
        <v>263</v>
      </c>
      <c r="F143" s="35">
        <v>1001</v>
      </c>
      <c r="G143" s="35">
        <v>2500</v>
      </c>
      <c r="H143" s="127">
        <v>2500</v>
      </c>
      <c r="I143" s="138">
        <v>1.5</v>
      </c>
      <c r="J143" s="137"/>
      <c r="K143" s="138">
        <v>800</v>
      </c>
      <c r="L143" s="130">
        <f>I143*(H143/K143)</f>
        <v>4.6875</v>
      </c>
      <c r="M143" s="28">
        <f>+L143*$M$1</f>
        <v>150.9375</v>
      </c>
      <c r="N143" s="162">
        <f>+M143/H143</f>
        <v>6.0374999999999998E-2</v>
      </c>
      <c r="O143" s="131">
        <f t="shared" si="15"/>
        <v>60.375</v>
      </c>
      <c r="P143" s="130">
        <f t="shared" ref="P143:P206" si="16">+J143/8</f>
        <v>0</v>
      </c>
    </row>
    <row r="144" spans="1:16" hidden="1" x14ac:dyDescent="0.25">
      <c r="A144" s="114" t="s">
        <v>269</v>
      </c>
      <c r="B144" s="114" t="s">
        <v>301</v>
      </c>
      <c r="C144" s="114">
        <v>26</v>
      </c>
      <c r="D144" s="114">
        <v>60</v>
      </c>
      <c r="E144" s="1" t="s">
        <v>265</v>
      </c>
      <c r="F144" s="35">
        <v>1001</v>
      </c>
      <c r="G144" s="35">
        <v>2500</v>
      </c>
      <c r="H144" s="127">
        <v>2500</v>
      </c>
      <c r="I144" s="138">
        <v>1.5</v>
      </c>
      <c r="J144" s="137"/>
      <c r="K144" s="138">
        <v>600</v>
      </c>
      <c r="L144" s="130">
        <f>I144*(H144/K144)</f>
        <v>6.25</v>
      </c>
      <c r="M144" s="28">
        <f>+L144*$M$1</f>
        <v>201.25000000000003</v>
      </c>
      <c r="N144" s="162">
        <f>+M144/H144</f>
        <v>8.0500000000000016E-2</v>
      </c>
      <c r="O144" s="131">
        <f t="shared" si="15"/>
        <v>80.500000000000014</v>
      </c>
      <c r="P144" s="130">
        <f t="shared" si="16"/>
        <v>0</v>
      </c>
    </row>
    <row r="145" spans="1:16" hidden="1" x14ac:dyDescent="0.25">
      <c r="A145" s="114" t="s">
        <v>269</v>
      </c>
      <c r="B145" s="114" t="s">
        <v>271</v>
      </c>
      <c r="C145" s="114">
        <v>26</v>
      </c>
      <c r="D145" s="114">
        <v>60</v>
      </c>
      <c r="E145" s="1" t="s">
        <v>263</v>
      </c>
      <c r="F145" s="35">
        <v>1001</v>
      </c>
      <c r="G145" s="35">
        <v>2500</v>
      </c>
      <c r="H145" s="127">
        <v>2500</v>
      </c>
      <c r="I145" s="138">
        <v>1.5</v>
      </c>
      <c r="J145" s="137"/>
      <c r="K145" s="138">
        <v>800</v>
      </c>
      <c r="L145" s="130">
        <f>I145*(H145/K145)</f>
        <v>4.6875</v>
      </c>
      <c r="M145" s="28">
        <f>+L145*$M$1</f>
        <v>150.9375</v>
      </c>
      <c r="N145" s="162">
        <f>+M145/H145</f>
        <v>6.0374999999999998E-2</v>
      </c>
      <c r="O145" s="131">
        <f t="shared" si="15"/>
        <v>60.375</v>
      </c>
      <c r="P145" s="130">
        <f t="shared" si="16"/>
        <v>0</v>
      </c>
    </row>
    <row r="146" spans="1:16" hidden="1" x14ac:dyDescent="0.25">
      <c r="A146" s="114" t="s">
        <v>269</v>
      </c>
      <c r="B146" s="114" t="s">
        <v>271</v>
      </c>
      <c r="C146" s="114">
        <v>26</v>
      </c>
      <c r="D146" s="114">
        <v>60</v>
      </c>
      <c r="E146" s="1" t="s">
        <v>265</v>
      </c>
      <c r="F146" s="35">
        <v>1001</v>
      </c>
      <c r="G146" s="35">
        <v>2500</v>
      </c>
      <c r="H146" s="127">
        <v>2500</v>
      </c>
      <c r="I146" s="138">
        <v>1.5</v>
      </c>
      <c r="J146" s="137"/>
      <c r="K146" s="138">
        <v>600</v>
      </c>
      <c r="L146" s="130">
        <f>I146*(H146/K146)</f>
        <v>6.25</v>
      </c>
      <c r="M146" s="28">
        <f>+L146*$M$1</f>
        <v>201.25000000000003</v>
      </c>
      <c r="N146" s="162">
        <f>+M146/H146</f>
        <v>8.0500000000000016E-2</v>
      </c>
      <c r="O146" s="131">
        <f t="shared" si="15"/>
        <v>80.500000000000014</v>
      </c>
      <c r="P146" s="130">
        <f t="shared" si="16"/>
        <v>0</v>
      </c>
    </row>
    <row r="147" spans="1:16" hidden="1" x14ac:dyDescent="0.25">
      <c r="A147" s="114" t="s">
        <v>269</v>
      </c>
      <c r="B147" s="114" t="s">
        <v>301</v>
      </c>
      <c r="C147" s="114">
        <v>26</v>
      </c>
      <c r="D147" s="114">
        <v>60</v>
      </c>
      <c r="E147" s="1" t="s">
        <v>264</v>
      </c>
      <c r="F147" s="35">
        <v>1001</v>
      </c>
      <c r="G147" s="35">
        <v>2500</v>
      </c>
      <c r="H147" s="127">
        <v>2500</v>
      </c>
      <c r="I147" s="138">
        <v>2.5</v>
      </c>
      <c r="J147" s="137"/>
      <c r="K147" s="138">
        <v>800</v>
      </c>
      <c r="L147" s="130">
        <f>I147*(H147/K147)</f>
        <v>7.8125</v>
      </c>
      <c r="M147" s="28">
        <f>+L147*$M$1</f>
        <v>251.56250000000003</v>
      </c>
      <c r="N147" s="162">
        <f>+M147/H147</f>
        <v>0.10062500000000001</v>
      </c>
      <c r="O147" s="131">
        <f t="shared" si="15"/>
        <v>100.625</v>
      </c>
      <c r="P147" s="130">
        <f t="shared" si="16"/>
        <v>0</v>
      </c>
    </row>
    <row r="148" spans="1:16" hidden="1" x14ac:dyDescent="0.25">
      <c r="A148" s="114" t="s">
        <v>269</v>
      </c>
      <c r="B148" s="114" t="s">
        <v>301</v>
      </c>
      <c r="C148" s="114">
        <v>26</v>
      </c>
      <c r="D148" s="114">
        <v>60</v>
      </c>
      <c r="E148" s="1" t="s">
        <v>266</v>
      </c>
      <c r="F148" s="35">
        <v>1001</v>
      </c>
      <c r="G148" s="35">
        <v>2500</v>
      </c>
      <c r="H148" s="127">
        <v>2500</v>
      </c>
      <c r="I148" s="138">
        <v>2.5</v>
      </c>
      <c r="J148" s="137"/>
      <c r="K148" s="138">
        <v>600</v>
      </c>
      <c r="L148" s="130">
        <f>I148*(H148/K148)</f>
        <v>10.416666666666668</v>
      </c>
      <c r="M148" s="28">
        <f>+L148*$M$1</f>
        <v>335.41666666666674</v>
      </c>
      <c r="N148" s="162">
        <f>+M148/H148</f>
        <v>0.13416666666666668</v>
      </c>
      <c r="O148" s="131">
        <f t="shared" si="15"/>
        <v>134.16666666666669</v>
      </c>
      <c r="P148" s="130">
        <f t="shared" si="16"/>
        <v>0</v>
      </c>
    </row>
    <row r="149" spans="1:16" hidden="1" x14ac:dyDescent="0.25">
      <c r="A149" s="114" t="s">
        <v>269</v>
      </c>
      <c r="B149" s="114" t="s">
        <v>271</v>
      </c>
      <c r="C149" s="114">
        <v>26</v>
      </c>
      <c r="D149" s="114">
        <v>60</v>
      </c>
      <c r="E149" s="1" t="s">
        <v>264</v>
      </c>
      <c r="F149" s="35">
        <v>1001</v>
      </c>
      <c r="G149" s="35">
        <v>2500</v>
      </c>
      <c r="H149" s="127">
        <v>2500</v>
      </c>
      <c r="I149" s="138">
        <v>2.5</v>
      </c>
      <c r="J149" s="137"/>
      <c r="K149" s="138">
        <v>800</v>
      </c>
      <c r="L149" s="130">
        <f>I149*(H149/K149)</f>
        <v>7.8125</v>
      </c>
      <c r="M149" s="28">
        <f>+L149*$M$1</f>
        <v>251.56250000000003</v>
      </c>
      <c r="N149" s="162">
        <f>+M149/H149</f>
        <v>0.10062500000000001</v>
      </c>
      <c r="O149" s="131">
        <f t="shared" si="15"/>
        <v>100.625</v>
      </c>
      <c r="P149" s="130">
        <f t="shared" si="16"/>
        <v>0</v>
      </c>
    </row>
    <row r="150" spans="1:16" hidden="1" x14ac:dyDescent="0.25">
      <c r="A150" s="114" t="s">
        <v>269</v>
      </c>
      <c r="B150" s="114" t="s">
        <v>271</v>
      </c>
      <c r="C150" s="114">
        <v>26</v>
      </c>
      <c r="D150" s="114">
        <v>60</v>
      </c>
      <c r="E150" s="1" t="s">
        <v>266</v>
      </c>
      <c r="F150" s="35">
        <v>1001</v>
      </c>
      <c r="G150" s="35">
        <v>2500</v>
      </c>
      <c r="H150" s="127">
        <v>2500</v>
      </c>
      <c r="I150" s="138">
        <v>2.5</v>
      </c>
      <c r="J150" s="137"/>
      <c r="K150" s="138">
        <v>600</v>
      </c>
      <c r="L150" s="130">
        <f>I150*(H150/K150)</f>
        <v>10.416666666666668</v>
      </c>
      <c r="M150" s="28">
        <f>+L150*$M$1</f>
        <v>335.41666666666674</v>
      </c>
      <c r="N150" s="162">
        <f>+M150/H150</f>
        <v>0.13416666666666668</v>
      </c>
      <c r="O150" s="131">
        <f t="shared" ref="O150:O154" si="17">+N150*1000</f>
        <v>134.16666666666669</v>
      </c>
      <c r="P150" s="130">
        <f t="shared" si="16"/>
        <v>0</v>
      </c>
    </row>
    <row r="151" spans="1:16" hidden="1" x14ac:dyDescent="0.25">
      <c r="A151" s="114" t="s">
        <v>269</v>
      </c>
      <c r="B151" s="114" t="s">
        <v>271</v>
      </c>
      <c r="C151" s="114">
        <v>26</v>
      </c>
      <c r="D151" s="114">
        <v>60</v>
      </c>
      <c r="E151" s="1" t="s">
        <v>18</v>
      </c>
      <c r="F151" s="35">
        <v>5001</v>
      </c>
      <c r="G151" s="35">
        <v>10000</v>
      </c>
      <c r="H151" s="127">
        <v>10000</v>
      </c>
      <c r="I151" s="138">
        <v>4.5</v>
      </c>
      <c r="J151" s="137"/>
      <c r="K151" s="138">
        <v>450</v>
      </c>
      <c r="L151" s="130">
        <f>I151*(H151/K151)</f>
        <v>100</v>
      </c>
      <c r="M151" s="28">
        <f>+L151*$M$1</f>
        <v>3220.0000000000005</v>
      </c>
      <c r="N151" s="162">
        <f>+M151/H151</f>
        <v>0.32200000000000006</v>
      </c>
      <c r="O151" s="131">
        <f t="shared" si="17"/>
        <v>322.00000000000006</v>
      </c>
      <c r="P151" s="130">
        <f t="shared" si="16"/>
        <v>0</v>
      </c>
    </row>
    <row r="152" spans="1:16" hidden="1" x14ac:dyDescent="0.25">
      <c r="A152" s="114" t="s">
        <v>269</v>
      </c>
      <c r="B152" s="114" t="s">
        <v>301</v>
      </c>
      <c r="C152" s="114">
        <v>26</v>
      </c>
      <c r="D152" s="114">
        <v>60</v>
      </c>
      <c r="E152" s="1" t="s">
        <v>18</v>
      </c>
      <c r="F152" s="35">
        <v>5001</v>
      </c>
      <c r="G152" s="35">
        <v>15000</v>
      </c>
      <c r="H152" s="127">
        <v>15000</v>
      </c>
      <c r="I152" s="138">
        <v>3.5</v>
      </c>
      <c r="J152" s="137"/>
      <c r="K152" s="138">
        <v>700</v>
      </c>
      <c r="L152" s="130">
        <f>I152*(H152/K152)</f>
        <v>75</v>
      </c>
      <c r="M152" s="28">
        <f>+L152*$M$1</f>
        <v>2415</v>
      </c>
      <c r="N152" s="162">
        <f>+M152/H152</f>
        <v>0.161</v>
      </c>
      <c r="O152" s="131">
        <f t="shared" si="17"/>
        <v>161</v>
      </c>
      <c r="P152" s="130">
        <f t="shared" si="16"/>
        <v>0</v>
      </c>
    </row>
    <row r="153" spans="1:16" hidden="1" x14ac:dyDescent="0.25">
      <c r="A153" s="114" t="s">
        <v>269</v>
      </c>
      <c r="B153" s="114" t="s">
        <v>301</v>
      </c>
      <c r="C153" s="114">
        <v>26</v>
      </c>
      <c r="D153" s="114">
        <v>60</v>
      </c>
      <c r="E153" s="1" t="s">
        <v>17</v>
      </c>
      <c r="F153" s="35">
        <v>1001</v>
      </c>
      <c r="G153" s="35">
        <v>2500</v>
      </c>
      <c r="H153" s="127">
        <v>2500</v>
      </c>
      <c r="I153" s="138">
        <v>3.5</v>
      </c>
      <c r="J153" s="137"/>
      <c r="K153" s="138">
        <v>700</v>
      </c>
      <c r="L153" s="130">
        <f>I153*(H153/K153)</f>
        <v>12.5</v>
      </c>
      <c r="M153" s="28">
        <f>+L153*$M$1</f>
        <v>402.50000000000006</v>
      </c>
      <c r="N153" s="162">
        <f>+M153/H153</f>
        <v>0.16100000000000003</v>
      </c>
      <c r="O153" s="131">
        <f t="shared" si="17"/>
        <v>161.00000000000003</v>
      </c>
      <c r="P153" s="130">
        <f t="shared" si="16"/>
        <v>0</v>
      </c>
    </row>
    <row r="154" spans="1:16" hidden="1" x14ac:dyDescent="0.25">
      <c r="A154" s="114" t="s">
        <v>269</v>
      </c>
      <c r="B154" s="114" t="s">
        <v>271</v>
      </c>
      <c r="C154" s="114">
        <v>26</v>
      </c>
      <c r="D154" s="114">
        <v>60</v>
      </c>
      <c r="E154" s="1" t="s">
        <v>277</v>
      </c>
      <c r="F154" s="35">
        <v>1001</v>
      </c>
      <c r="G154" s="35">
        <v>2500</v>
      </c>
      <c r="H154" s="127">
        <v>2500</v>
      </c>
      <c r="I154" s="138">
        <v>3.5</v>
      </c>
      <c r="J154" s="137"/>
      <c r="K154" s="138">
        <v>450</v>
      </c>
      <c r="L154" s="130">
        <f>I154*(H154/K154)</f>
        <v>19.444444444444443</v>
      </c>
      <c r="M154" s="28">
        <f>+L154*$M$1</f>
        <v>626.11111111111109</v>
      </c>
      <c r="N154" s="162">
        <f>+M154/H154</f>
        <v>0.25044444444444441</v>
      </c>
      <c r="O154" s="131">
        <f t="shared" si="17"/>
        <v>250.4444444444444</v>
      </c>
      <c r="P154" s="130">
        <f t="shared" si="16"/>
        <v>0</v>
      </c>
    </row>
    <row r="155" spans="1:16" hidden="1" x14ac:dyDescent="0.25">
      <c r="A155" s="114" t="s">
        <v>269</v>
      </c>
      <c r="B155" s="114" t="s">
        <v>271</v>
      </c>
      <c r="C155" s="114">
        <v>26</v>
      </c>
      <c r="D155" s="114">
        <v>60</v>
      </c>
      <c r="E155" s="1" t="s">
        <v>18</v>
      </c>
      <c r="F155" s="35">
        <v>10001</v>
      </c>
      <c r="G155" s="35">
        <v>999999</v>
      </c>
      <c r="H155" s="127">
        <v>25000</v>
      </c>
      <c r="I155" s="138">
        <v>5.5</v>
      </c>
      <c r="J155" s="137"/>
      <c r="K155" s="138">
        <v>1150</v>
      </c>
      <c r="L155" s="130">
        <f>I155*(H155/K155)</f>
        <v>119.56521739130434</v>
      </c>
      <c r="M155" s="28">
        <f>+L155*$M$1</f>
        <v>3850</v>
      </c>
      <c r="N155" s="162">
        <f>+M155/H155</f>
        <v>0.154</v>
      </c>
      <c r="O155" s="131">
        <f t="shared" ref="O155:O184" si="18">+N155*1000</f>
        <v>154</v>
      </c>
      <c r="P155" s="130">
        <f t="shared" si="16"/>
        <v>0</v>
      </c>
    </row>
    <row r="156" spans="1:16" hidden="1" x14ac:dyDescent="0.25">
      <c r="A156" s="114" t="s">
        <v>269</v>
      </c>
      <c r="B156" s="114" t="s">
        <v>301</v>
      </c>
      <c r="C156" s="114">
        <v>26</v>
      </c>
      <c r="D156" s="114">
        <v>60</v>
      </c>
      <c r="E156" s="1" t="s">
        <v>50</v>
      </c>
      <c r="F156" s="35">
        <v>1001</v>
      </c>
      <c r="G156" s="35">
        <v>2500</v>
      </c>
      <c r="H156" s="127">
        <v>2500</v>
      </c>
      <c r="I156" s="138">
        <v>4.5</v>
      </c>
      <c r="J156" s="137"/>
      <c r="K156" s="138">
        <v>500</v>
      </c>
      <c r="L156" s="130">
        <f>I156*(H156/K156)</f>
        <v>22.5</v>
      </c>
      <c r="M156" s="28">
        <f>+L156*$M$1</f>
        <v>724.50000000000011</v>
      </c>
      <c r="N156" s="162">
        <f>+M156/H156</f>
        <v>0.28980000000000006</v>
      </c>
      <c r="O156" s="131">
        <f t="shared" si="18"/>
        <v>289.80000000000007</v>
      </c>
      <c r="P156" s="130">
        <f t="shared" si="16"/>
        <v>0</v>
      </c>
    </row>
    <row r="157" spans="1:16" hidden="1" x14ac:dyDescent="0.25">
      <c r="A157" s="114" t="s">
        <v>269</v>
      </c>
      <c r="B157" s="114" t="s">
        <v>271</v>
      </c>
      <c r="C157" s="114">
        <v>26</v>
      </c>
      <c r="D157" s="114">
        <v>60</v>
      </c>
      <c r="E157" s="1" t="s">
        <v>50</v>
      </c>
      <c r="F157" s="35">
        <v>1001</v>
      </c>
      <c r="G157" s="35">
        <v>2500</v>
      </c>
      <c r="H157" s="127">
        <v>2500</v>
      </c>
      <c r="I157" s="138">
        <v>5.5</v>
      </c>
      <c r="J157" s="137"/>
      <c r="K157" s="138">
        <v>400</v>
      </c>
      <c r="L157" s="130">
        <f>I157*(H157/K157)</f>
        <v>34.375</v>
      </c>
      <c r="M157" s="28">
        <f>+L157*$M$1</f>
        <v>1106.875</v>
      </c>
      <c r="N157" s="162">
        <f>+M157/H157</f>
        <v>0.44274999999999998</v>
      </c>
      <c r="O157" s="131">
        <f t="shared" si="18"/>
        <v>442.75</v>
      </c>
      <c r="P157" s="130">
        <f t="shared" si="16"/>
        <v>0</v>
      </c>
    </row>
    <row r="158" spans="1:16" x14ac:dyDescent="0.25">
      <c r="A158" s="114" t="s">
        <v>270</v>
      </c>
      <c r="B158" s="114" t="s">
        <v>301</v>
      </c>
      <c r="C158" s="114">
        <v>151</v>
      </c>
      <c r="D158" s="114">
        <v>300</v>
      </c>
      <c r="E158" s="1" t="s">
        <v>50</v>
      </c>
      <c r="F158" s="35">
        <v>501</v>
      </c>
      <c r="G158" s="35">
        <v>1000</v>
      </c>
      <c r="H158" s="127">
        <v>1000</v>
      </c>
      <c r="I158" s="138">
        <v>4.5</v>
      </c>
      <c r="J158" s="139">
        <v>3</v>
      </c>
      <c r="K158" s="136"/>
      <c r="L158" s="130">
        <f>+I158*J158</f>
        <v>13.5</v>
      </c>
      <c r="M158" s="28">
        <f>+L158*$M$1</f>
        <v>434.70000000000005</v>
      </c>
      <c r="N158" s="162">
        <f>+M158/H158</f>
        <v>0.43470000000000003</v>
      </c>
      <c r="O158" s="131">
        <f t="shared" si="18"/>
        <v>434.70000000000005</v>
      </c>
      <c r="P158" s="130">
        <f t="shared" si="16"/>
        <v>0.375</v>
      </c>
    </row>
    <row r="159" spans="1:16" hidden="1" x14ac:dyDescent="0.25">
      <c r="A159" s="114" t="s">
        <v>269</v>
      </c>
      <c r="B159" s="114" t="s">
        <v>271</v>
      </c>
      <c r="C159" s="114">
        <v>26</v>
      </c>
      <c r="D159" s="114">
        <v>60</v>
      </c>
      <c r="E159" s="1" t="s">
        <v>273</v>
      </c>
      <c r="F159" s="35">
        <v>1001</v>
      </c>
      <c r="G159" s="35">
        <v>2500</v>
      </c>
      <c r="H159" s="127">
        <v>2500</v>
      </c>
      <c r="I159" s="138">
        <v>4.5</v>
      </c>
      <c r="J159" s="137"/>
      <c r="K159" s="138">
        <v>450</v>
      </c>
      <c r="L159" s="130">
        <f>I159*(H159/K159)</f>
        <v>25</v>
      </c>
      <c r="M159" s="28">
        <f>+L159*$M$1</f>
        <v>805.00000000000011</v>
      </c>
      <c r="N159" s="162">
        <f>+M159/H159</f>
        <v>0.32200000000000006</v>
      </c>
      <c r="O159" s="131">
        <f t="shared" si="18"/>
        <v>322.00000000000006</v>
      </c>
      <c r="P159" s="130">
        <f t="shared" si="16"/>
        <v>0</v>
      </c>
    </row>
    <row r="160" spans="1:16" hidden="1" x14ac:dyDescent="0.25">
      <c r="A160" s="114" t="s">
        <v>269</v>
      </c>
      <c r="B160" s="114" t="s">
        <v>301</v>
      </c>
      <c r="C160" s="114">
        <v>26</v>
      </c>
      <c r="D160" s="114">
        <v>60</v>
      </c>
      <c r="E160" s="1" t="s">
        <v>263</v>
      </c>
      <c r="F160" s="35">
        <v>2501</v>
      </c>
      <c r="G160" s="35">
        <v>5000</v>
      </c>
      <c r="H160" s="127">
        <v>5000</v>
      </c>
      <c r="I160" s="138">
        <v>1.5</v>
      </c>
      <c r="J160" s="137"/>
      <c r="K160" s="138">
        <v>900</v>
      </c>
      <c r="L160" s="130">
        <f>I160*(H160/K160)</f>
        <v>8.3333333333333321</v>
      </c>
      <c r="M160" s="28">
        <f>+L160*$M$1</f>
        <v>268.33333333333331</v>
      </c>
      <c r="N160" s="162">
        <f>+M160/H160</f>
        <v>5.3666666666666661E-2</v>
      </c>
      <c r="O160" s="131">
        <f t="shared" si="18"/>
        <v>53.666666666666664</v>
      </c>
      <c r="P160" s="130">
        <f t="shared" si="16"/>
        <v>0</v>
      </c>
    </row>
    <row r="161" spans="1:16" hidden="1" x14ac:dyDescent="0.25">
      <c r="A161" s="114" t="s">
        <v>269</v>
      </c>
      <c r="B161" s="114" t="s">
        <v>301</v>
      </c>
      <c r="C161" s="114">
        <v>26</v>
      </c>
      <c r="D161" s="114">
        <v>60</v>
      </c>
      <c r="E161" s="1" t="s">
        <v>265</v>
      </c>
      <c r="F161" s="35">
        <v>2501</v>
      </c>
      <c r="G161" s="35">
        <v>5000</v>
      </c>
      <c r="H161" s="127">
        <v>5000</v>
      </c>
      <c r="I161" s="138">
        <v>1.5</v>
      </c>
      <c r="J161" s="137"/>
      <c r="K161" s="138">
        <v>700</v>
      </c>
      <c r="L161" s="130">
        <f>I161*(H161/K161)</f>
        <v>10.714285714285715</v>
      </c>
      <c r="M161" s="28">
        <f>+L161*$M$1</f>
        <v>345.00000000000006</v>
      </c>
      <c r="N161" s="162">
        <f>+M161/H161</f>
        <v>6.9000000000000006E-2</v>
      </c>
      <c r="O161" s="131">
        <f t="shared" si="18"/>
        <v>69</v>
      </c>
      <c r="P161" s="130">
        <f t="shared" si="16"/>
        <v>0</v>
      </c>
    </row>
    <row r="162" spans="1:16" x14ac:dyDescent="0.25">
      <c r="A162" s="114" t="s">
        <v>270</v>
      </c>
      <c r="B162" s="114" t="s">
        <v>301</v>
      </c>
      <c r="C162" s="114">
        <v>301</v>
      </c>
      <c r="D162" s="114">
        <v>500</v>
      </c>
      <c r="E162" s="1" t="s">
        <v>50</v>
      </c>
      <c r="F162" s="35">
        <v>501</v>
      </c>
      <c r="G162" s="35">
        <v>1000</v>
      </c>
      <c r="H162" s="127">
        <v>1000</v>
      </c>
      <c r="I162" s="138">
        <v>4.5</v>
      </c>
      <c r="J162" s="139">
        <v>3</v>
      </c>
      <c r="K162" s="136"/>
      <c r="L162" s="130">
        <f>+I162*J162</f>
        <v>13.5</v>
      </c>
      <c r="M162" s="28">
        <f>+L162*$M$1</f>
        <v>434.70000000000005</v>
      </c>
      <c r="N162" s="162">
        <f>+M162/H162</f>
        <v>0.43470000000000003</v>
      </c>
      <c r="O162" s="131">
        <f t="shared" si="18"/>
        <v>434.70000000000005</v>
      </c>
      <c r="P162" s="130">
        <f t="shared" si="16"/>
        <v>0.375</v>
      </c>
    </row>
    <row r="163" spans="1:16" hidden="1" x14ac:dyDescent="0.25">
      <c r="A163" s="114" t="s">
        <v>269</v>
      </c>
      <c r="B163" s="114" t="s">
        <v>271</v>
      </c>
      <c r="C163" s="114">
        <v>26</v>
      </c>
      <c r="D163" s="114">
        <v>60</v>
      </c>
      <c r="E163" s="1" t="s">
        <v>263</v>
      </c>
      <c r="F163" s="35">
        <v>2501</v>
      </c>
      <c r="G163" s="35">
        <v>5000</v>
      </c>
      <c r="H163" s="127">
        <v>5000</v>
      </c>
      <c r="I163" s="138">
        <v>1.5</v>
      </c>
      <c r="J163" s="137"/>
      <c r="K163" s="138">
        <v>900</v>
      </c>
      <c r="L163" s="130">
        <f>I163*(H163/K163)</f>
        <v>8.3333333333333321</v>
      </c>
      <c r="M163" s="28">
        <f>+L163*$M$1</f>
        <v>268.33333333333331</v>
      </c>
      <c r="N163" s="162">
        <f>+M163/H163</f>
        <v>5.3666666666666661E-2</v>
      </c>
      <c r="O163" s="131">
        <f t="shared" si="18"/>
        <v>53.666666666666664</v>
      </c>
      <c r="P163" s="130">
        <f t="shared" si="16"/>
        <v>0</v>
      </c>
    </row>
    <row r="164" spans="1:16" hidden="1" x14ac:dyDescent="0.25">
      <c r="A164" s="114" t="s">
        <v>269</v>
      </c>
      <c r="B164" s="114" t="s">
        <v>271</v>
      </c>
      <c r="C164" s="114">
        <v>26</v>
      </c>
      <c r="D164" s="114">
        <v>60</v>
      </c>
      <c r="E164" s="1" t="s">
        <v>265</v>
      </c>
      <c r="F164" s="35">
        <v>2501</v>
      </c>
      <c r="G164" s="35">
        <v>5000</v>
      </c>
      <c r="H164" s="127">
        <v>5000</v>
      </c>
      <c r="I164" s="138">
        <v>1.5</v>
      </c>
      <c r="J164" s="137"/>
      <c r="K164" s="138">
        <v>700</v>
      </c>
      <c r="L164" s="130">
        <f>I164*(H164/K164)</f>
        <v>10.714285714285715</v>
      </c>
      <c r="M164" s="28">
        <f>+L164*$M$1</f>
        <v>345.00000000000006</v>
      </c>
      <c r="N164" s="162">
        <f>+M164/H164</f>
        <v>6.9000000000000006E-2</v>
      </c>
      <c r="O164" s="131">
        <f t="shared" si="18"/>
        <v>69</v>
      </c>
      <c r="P164" s="130">
        <f t="shared" si="16"/>
        <v>0</v>
      </c>
    </row>
    <row r="165" spans="1:16" hidden="1" x14ac:dyDescent="0.25">
      <c r="A165" s="114" t="s">
        <v>269</v>
      </c>
      <c r="B165" s="114" t="s">
        <v>301</v>
      </c>
      <c r="C165" s="114">
        <v>26</v>
      </c>
      <c r="D165" s="114">
        <v>60</v>
      </c>
      <c r="E165" s="1" t="s">
        <v>264</v>
      </c>
      <c r="F165" s="35">
        <v>2501</v>
      </c>
      <c r="G165" s="35">
        <v>5000</v>
      </c>
      <c r="H165" s="127">
        <v>5000</v>
      </c>
      <c r="I165" s="138">
        <v>2.5</v>
      </c>
      <c r="J165" s="137"/>
      <c r="K165" s="138">
        <v>900</v>
      </c>
      <c r="L165" s="130">
        <f>I165*(H165/K165)</f>
        <v>13.888888888888889</v>
      </c>
      <c r="M165" s="28">
        <f>+L165*$M$1</f>
        <v>447.22222222222229</v>
      </c>
      <c r="N165" s="162">
        <f>+M165/H165</f>
        <v>8.9444444444444451E-2</v>
      </c>
      <c r="O165" s="131">
        <f t="shared" si="18"/>
        <v>89.444444444444457</v>
      </c>
      <c r="P165" s="130">
        <f t="shared" si="16"/>
        <v>0</v>
      </c>
    </row>
    <row r="166" spans="1:16" x14ac:dyDescent="0.25">
      <c r="A166" s="114" t="s">
        <v>270</v>
      </c>
      <c r="B166" s="114" t="s">
        <v>301</v>
      </c>
      <c r="C166" s="114">
        <v>501</v>
      </c>
      <c r="D166" s="114">
        <v>1000</v>
      </c>
      <c r="E166" s="1" t="s">
        <v>50</v>
      </c>
      <c r="F166" s="35">
        <v>501</v>
      </c>
      <c r="G166" s="35">
        <v>1000</v>
      </c>
      <c r="H166" s="127">
        <v>1000</v>
      </c>
      <c r="I166" s="138">
        <v>4.5</v>
      </c>
      <c r="J166" s="139">
        <v>3</v>
      </c>
      <c r="K166" s="136"/>
      <c r="L166" s="130">
        <f>+I166*J166</f>
        <v>13.5</v>
      </c>
      <c r="M166" s="28">
        <f>+L166*$M$1</f>
        <v>434.70000000000005</v>
      </c>
      <c r="N166" s="162">
        <f>+M166/H166</f>
        <v>0.43470000000000003</v>
      </c>
      <c r="O166" s="131">
        <f t="shared" si="18"/>
        <v>434.70000000000005</v>
      </c>
      <c r="P166" s="130">
        <f t="shared" si="16"/>
        <v>0.375</v>
      </c>
    </row>
    <row r="167" spans="1:16" hidden="1" x14ac:dyDescent="0.25">
      <c r="A167" s="114" t="s">
        <v>269</v>
      </c>
      <c r="B167" s="114" t="s">
        <v>301</v>
      </c>
      <c r="C167" s="114">
        <v>26</v>
      </c>
      <c r="D167" s="114">
        <v>60</v>
      </c>
      <c r="E167" s="1" t="s">
        <v>266</v>
      </c>
      <c r="F167" s="35">
        <v>2501</v>
      </c>
      <c r="G167" s="35">
        <v>5000</v>
      </c>
      <c r="H167" s="127">
        <v>5000</v>
      </c>
      <c r="I167" s="138">
        <v>2.5</v>
      </c>
      <c r="J167" s="137"/>
      <c r="K167" s="138">
        <v>700</v>
      </c>
      <c r="L167" s="130">
        <f>I167*(H167/K167)</f>
        <v>17.857142857142858</v>
      </c>
      <c r="M167" s="28">
        <f>+L167*$M$1</f>
        <v>575.00000000000011</v>
      </c>
      <c r="N167" s="162">
        <f>+M167/H167</f>
        <v>0.11500000000000002</v>
      </c>
      <c r="O167" s="131">
        <f t="shared" si="18"/>
        <v>115.00000000000001</v>
      </c>
      <c r="P167" s="130">
        <f t="shared" si="16"/>
        <v>0</v>
      </c>
    </row>
    <row r="168" spans="1:16" hidden="1" x14ac:dyDescent="0.25">
      <c r="A168" s="114" t="s">
        <v>269</v>
      </c>
      <c r="B168" s="114" t="s">
        <v>271</v>
      </c>
      <c r="C168" s="114">
        <v>26</v>
      </c>
      <c r="D168" s="114">
        <v>60</v>
      </c>
      <c r="E168" s="1" t="s">
        <v>264</v>
      </c>
      <c r="F168" s="35">
        <v>2501</v>
      </c>
      <c r="G168" s="35">
        <v>5000</v>
      </c>
      <c r="H168" s="127">
        <v>5000</v>
      </c>
      <c r="I168" s="138">
        <v>2.5</v>
      </c>
      <c r="J168" s="137"/>
      <c r="K168" s="138">
        <v>900</v>
      </c>
      <c r="L168" s="130">
        <f>I168*(H168/K168)</f>
        <v>13.888888888888889</v>
      </c>
      <c r="M168" s="28">
        <f>+L168*$M$1</f>
        <v>447.22222222222229</v>
      </c>
      <c r="N168" s="162">
        <f>+M168/H168</f>
        <v>8.9444444444444451E-2</v>
      </c>
      <c r="O168" s="131">
        <f t="shared" si="18"/>
        <v>89.444444444444457</v>
      </c>
      <c r="P168" s="130">
        <f t="shared" si="16"/>
        <v>0</v>
      </c>
    </row>
    <row r="169" spans="1:16" hidden="1" x14ac:dyDescent="0.25">
      <c r="A169" s="114" t="s">
        <v>269</v>
      </c>
      <c r="B169" s="114" t="s">
        <v>271</v>
      </c>
      <c r="C169" s="114">
        <v>26</v>
      </c>
      <c r="D169" s="114">
        <v>60</v>
      </c>
      <c r="E169" s="1" t="s">
        <v>266</v>
      </c>
      <c r="F169" s="35">
        <v>2501</v>
      </c>
      <c r="G169" s="35">
        <v>5000</v>
      </c>
      <c r="H169" s="127">
        <v>5000</v>
      </c>
      <c r="I169" s="138">
        <v>2.5</v>
      </c>
      <c r="J169" s="137"/>
      <c r="K169" s="138">
        <v>700</v>
      </c>
      <c r="L169" s="130">
        <f>I169*(H169/K169)</f>
        <v>17.857142857142858</v>
      </c>
      <c r="M169" s="28">
        <f>+L169*$M$1</f>
        <v>575.00000000000011</v>
      </c>
      <c r="N169" s="162">
        <f>+M169/H169</f>
        <v>0.11500000000000002</v>
      </c>
      <c r="O169" s="131">
        <f t="shared" si="18"/>
        <v>115.00000000000001</v>
      </c>
      <c r="P169" s="130">
        <f t="shared" si="16"/>
        <v>0</v>
      </c>
    </row>
    <row r="170" spans="1:16" hidden="1" x14ac:dyDescent="0.25">
      <c r="A170" s="114" t="s">
        <v>269</v>
      </c>
      <c r="B170" s="114" t="s">
        <v>301</v>
      </c>
      <c r="C170" s="114">
        <v>26</v>
      </c>
      <c r="D170" s="114">
        <v>60</v>
      </c>
      <c r="E170" s="1" t="s">
        <v>17</v>
      </c>
      <c r="F170" s="35">
        <v>2501</v>
      </c>
      <c r="G170" s="35">
        <v>5000</v>
      </c>
      <c r="H170" s="127">
        <v>5000</v>
      </c>
      <c r="I170" s="138">
        <v>3.5</v>
      </c>
      <c r="J170" s="137"/>
      <c r="K170" s="138">
        <v>750</v>
      </c>
      <c r="L170" s="130">
        <f>I170*(H170/K170)</f>
        <v>23.333333333333336</v>
      </c>
      <c r="M170" s="28">
        <f>+L170*$M$1</f>
        <v>751.33333333333348</v>
      </c>
      <c r="N170" s="162">
        <f>+M170/H170</f>
        <v>0.15026666666666669</v>
      </c>
      <c r="O170" s="131">
        <f t="shared" si="18"/>
        <v>150.26666666666668</v>
      </c>
      <c r="P170" s="130">
        <f t="shared" si="16"/>
        <v>0</v>
      </c>
    </row>
    <row r="171" spans="1:16" hidden="1" x14ac:dyDescent="0.25">
      <c r="A171" s="114" t="s">
        <v>269</v>
      </c>
      <c r="B171" s="114" t="s">
        <v>271</v>
      </c>
      <c r="C171" s="114">
        <v>26</v>
      </c>
      <c r="D171" s="114">
        <v>60</v>
      </c>
      <c r="E171" s="1" t="s">
        <v>277</v>
      </c>
      <c r="F171" s="35">
        <v>2501</v>
      </c>
      <c r="G171" s="35">
        <v>5000</v>
      </c>
      <c r="H171" s="127">
        <v>5000</v>
      </c>
      <c r="I171" s="138">
        <v>3.5</v>
      </c>
      <c r="J171" s="137"/>
      <c r="K171" s="138">
        <v>475</v>
      </c>
      <c r="L171" s="130">
        <f>I171*(H171/K171)</f>
        <v>36.842105263157897</v>
      </c>
      <c r="M171" s="28">
        <f>+L171*$M$1</f>
        <v>1186.3157894736844</v>
      </c>
      <c r="N171" s="162">
        <f>+M171/H171</f>
        <v>0.23726315789473687</v>
      </c>
      <c r="O171" s="131">
        <f t="shared" si="18"/>
        <v>237.26315789473688</v>
      </c>
      <c r="P171" s="130">
        <f t="shared" si="16"/>
        <v>0</v>
      </c>
    </row>
    <row r="172" spans="1:16" hidden="1" x14ac:dyDescent="0.25">
      <c r="A172" s="114" t="s">
        <v>269</v>
      </c>
      <c r="B172" s="114" t="s">
        <v>301</v>
      </c>
      <c r="C172" s="114">
        <v>26</v>
      </c>
      <c r="D172" s="114">
        <v>60</v>
      </c>
      <c r="E172" s="1" t="s">
        <v>50</v>
      </c>
      <c r="F172" s="35">
        <v>2501</v>
      </c>
      <c r="G172" s="35">
        <v>5000</v>
      </c>
      <c r="H172" s="127">
        <v>5000</v>
      </c>
      <c r="I172" s="138">
        <v>4.5</v>
      </c>
      <c r="J172" s="137"/>
      <c r="K172" s="138">
        <v>600</v>
      </c>
      <c r="L172" s="130">
        <f>I172*(H172/K172)</f>
        <v>37.5</v>
      </c>
      <c r="M172" s="28">
        <f>+L172*$M$1</f>
        <v>1207.5</v>
      </c>
      <c r="N172" s="162">
        <f>+M172/H172</f>
        <v>0.24149999999999999</v>
      </c>
      <c r="O172" s="131">
        <f t="shared" si="18"/>
        <v>241.5</v>
      </c>
      <c r="P172" s="130">
        <f t="shared" si="16"/>
        <v>0</v>
      </c>
    </row>
    <row r="173" spans="1:16" hidden="1" x14ac:dyDescent="0.25">
      <c r="A173" s="114" t="s">
        <v>269</v>
      </c>
      <c r="B173" s="114" t="s">
        <v>271</v>
      </c>
      <c r="C173" s="114">
        <v>26</v>
      </c>
      <c r="D173" s="114">
        <v>60</v>
      </c>
      <c r="E173" s="1" t="s">
        <v>50</v>
      </c>
      <c r="F173" s="35">
        <v>2501</v>
      </c>
      <c r="G173" s="35">
        <v>5000</v>
      </c>
      <c r="H173" s="127">
        <v>5000</v>
      </c>
      <c r="I173" s="138">
        <v>5.5</v>
      </c>
      <c r="J173" s="137"/>
      <c r="K173" s="138">
        <v>425</v>
      </c>
      <c r="L173" s="130">
        <f>I173*(H173/K173)</f>
        <v>64.705882352941188</v>
      </c>
      <c r="M173" s="28">
        <f>+L173*$M$1</f>
        <v>2083.5294117647063</v>
      </c>
      <c r="N173" s="162">
        <f>+M173/H173</f>
        <v>0.41670588235294126</v>
      </c>
      <c r="O173" s="131">
        <f t="shared" si="18"/>
        <v>416.70588235294127</v>
      </c>
      <c r="P173" s="130">
        <f t="shared" si="16"/>
        <v>0</v>
      </c>
    </row>
    <row r="174" spans="1:16" hidden="1" x14ac:dyDescent="0.25">
      <c r="A174" s="114" t="s">
        <v>269</v>
      </c>
      <c r="B174" s="114" t="s">
        <v>271</v>
      </c>
      <c r="C174" s="114">
        <v>26</v>
      </c>
      <c r="D174" s="114">
        <v>60</v>
      </c>
      <c r="E174" s="1" t="s">
        <v>273</v>
      </c>
      <c r="F174" s="35">
        <v>2501</v>
      </c>
      <c r="G174" s="35">
        <v>5000</v>
      </c>
      <c r="H174" s="127">
        <v>5000</v>
      </c>
      <c r="I174" s="138">
        <v>4.5</v>
      </c>
      <c r="J174" s="137"/>
      <c r="K174" s="138">
        <v>475</v>
      </c>
      <c r="L174" s="130">
        <f>I174*(H174/K174)</f>
        <v>47.368421052631582</v>
      </c>
      <c r="M174" s="28">
        <f>+L174*$M$1</f>
        <v>1525.2631578947371</v>
      </c>
      <c r="N174" s="162">
        <f>+M174/H174</f>
        <v>0.30505263157894741</v>
      </c>
      <c r="O174" s="131">
        <f t="shared" si="18"/>
        <v>305.0526315789474</v>
      </c>
      <c r="P174" s="130">
        <f t="shared" si="16"/>
        <v>0</v>
      </c>
    </row>
    <row r="175" spans="1:16" hidden="1" x14ac:dyDescent="0.25">
      <c r="A175" s="114" t="s">
        <v>269</v>
      </c>
      <c r="B175" s="114" t="s">
        <v>271</v>
      </c>
      <c r="C175" s="114">
        <v>26</v>
      </c>
      <c r="D175" s="114">
        <v>60</v>
      </c>
      <c r="E175" s="1" t="s">
        <v>277</v>
      </c>
      <c r="F175" s="35">
        <v>5001</v>
      </c>
      <c r="G175" s="35">
        <v>10000</v>
      </c>
      <c r="H175" s="127">
        <v>10000</v>
      </c>
      <c r="I175" s="138">
        <v>3.5</v>
      </c>
      <c r="J175" s="137"/>
      <c r="K175" s="138">
        <v>500</v>
      </c>
      <c r="L175" s="130">
        <f>I175*(H175/K175)</f>
        <v>70</v>
      </c>
      <c r="M175" s="28">
        <f>+L175*$M$1</f>
        <v>2254</v>
      </c>
      <c r="N175" s="162">
        <f>+M175/H175</f>
        <v>0.22539999999999999</v>
      </c>
      <c r="O175" s="131">
        <f t="shared" si="18"/>
        <v>225.39999999999998</v>
      </c>
      <c r="P175" s="130">
        <f t="shared" si="16"/>
        <v>0</v>
      </c>
    </row>
    <row r="176" spans="1:16" hidden="1" x14ac:dyDescent="0.25">
      <c r="A176" s="114" t="s">
        <v>269</v>
      </c>
      <c r="B176" s="114" t="s">
        <v>271</v>
      </c>
      <c r="C176" s="114">
        <v>26</v>
      </c>
      <c r="D176" s="114">
        <v>60</v>
      </c>
      <c r="E176" s="1" t="s">
        <v>273</v>
      </c>
      <c r="F176" s="35">
        <v>5001</v>
      </c>
      <c r="G176" s="35">
        <v>10000</v>
      </c>
      <c r="H176" s="127">
        <v>10000</v>
      </c>
      <c r="I176" s="138">
        <v>4.5</v>
      </c>
      <c r="J176" s="137"/>
      <c r="K176" s="138">
        <v>500</v>
      </c>
      <c r="L176" s="130">
        <f>I176*(H176/K176)</f>
        <v>90</v>
      </c>
      <c r="M176" s="28">
        <f>+L176*$M$1</f>
        <v>2898.0000000000005</v>
      </c>
      <c r="N176" s="162">
        <f>+M176/H176</f>
        <v>0.28980000000000006</v>
      </c>
      <c r="O176" s="131">
        <f t="shared" si="18"/>
        <v>289.80000000000007</v>
      </c>
      <c r="P176" s="130">
        <f t="shared" si="16"/>
        <v>0</v>
      </c>
    </row>
    <row r="177" spans="1:16" hidden="1" x14ac:dyDescent="0.25">
      <c r="A177" s="114" t="s">
        <v>269</v>
      </c>
      <c r="B177" s="114" t="s">
        <v>301</v>
      </c>
      <c r="C177" s="114">
        <v>26</v>
      </c>
      <c r="D177" s="114">
        <v>60</v>
      </c>
      <c r="E177" s="1" t="s">
        <v>50</v>
      </c>
      <c r="F177" s="35">
        <v>5001</v>
      </c>
      <c r="G177" s="35">
        <v>15000</v>
      </c>
      <c r="H177" s="127">
        <v>15000</v>
      </c>
      <c r="I177" s="138">
        <v>4.5</v>
      </c>
      <c r="J177" s="137"/>
      <c r="K177" s="138">
        <v>700</v>
      </c>
      <c r="L177" s="130">
        <f>I177*(H177/K177)</f>
        <v>96.428571428571416</v>
      </c>
      <c r="M177" s="28">
        <f>+L177*$M$1</f>
        <v>3105</v>
      </c>
      <c r="N177" s="162">
        <f>+M177/H177</f>
        <v>0.20699999999999999</v>
      </c>
      <c r="O177" s="131">
        <f t="shared" si="18"/>
        <v>207</v>
      </c>
      <c r="P177" s="130">
        <f t="shared" si="16"/>
        <v>0</v>
      </c>
    </row>
    <row r="178" spans="1:16" hidden="1" x14ac:dyDescent="0.25">
      <c r="A178" s="114" t="s">
        <v>269</v>
      </c>
      <c r="B178" s="114" t="s">
        <v>301</v>
      </c>
      <c r="C178" s="114">
        <v>26</v>
      </c>
      <c r="D178" s="114">
        <v>60</v>
      </c>
      <c r="E178" s="1" t="s">
        <v>17</v>
      </c>
      <c r="F178" s="35">
        <v>5001</v>
      </c>
      <c r="G178" s="35">
        <v>15000</v>
      </c>
      <c r="H178" s="127">
        <v>15000</v>
      </c>
      <c r="I178" s="138">
        <v>3.5</v>
      </c>
      <c r="J178" s="137"/>
      <c r="K178" s="138">
        <v>850</v>
      </c>
      <c r="L178" s="130">
        <f>I178*(H178/K178)</f>
        <v>61.764705882352942</v>
      </c>
      <c r="M178" s="28">
        <f>+L178*$M$1</f>
        <v>1988.8235294117649</v>
      </c>
      <c r="N178" s="162">
        <f>+M178/H178</f>
        <v>0.13258823529411765</v>
      </c>
      <c r="O178" s="131">
        <f t="shared" si="18"/>
        <v>132.58823529411765</v>
      </c>
      <c r="P178" s="130">
        <f t="shared" si="16"/>
        <v>0</v>
      </c>
    </row>
    <row r="179" spans="1:16" x14ac:dyDescent="0.25">
      <c r="A179" s="114" t="s">
        <v>270</v>
      </c>
      <c r="B179" s="114" t="s">
        <v>301</v>
      </c>
      <c r="C179" s="114">
        <v>151</v>
      </c>
      <c r="D179" s="114">
        <v>300</v>
      </c>
      <c r="E179" s="1" t="s">
        <v>263</v>
      </c>
      <c r="F179" s="35">
        <v>1001</v>
      </c>
      <c r="G179" s="35">
        <v>2500</v>
      </c>
      <c r="H179" s="127">
        <v>2500</v>
      </c>
      <c r="I179" s="138">
        <v>1.5</v>
      </c>
      <c r="J179" s="137"/>
      <c r="K179" s="138">
        <v>650</v>
      </c>
      <c r="L179" s="130">
        <f>I179*(H179/K179)</f>
        <v>5.7692307692307692</v>
      </c>
      <c r="M179" s="28">
        <f>+L179*$M$1</f>
        <v>185.76923076923077</v>
      </c>
      <c r="N179" s="162">
        <f>+M179/H179</f>
        <v>7.4307692307692311E-2</v>
      </c>
      <c r="O179" s="131">
        <f t="shared" si="18"/>
        <v>74.307692307692307</v>
      </c>
      <c r="P179" s="130">
        <f t="shared" si="16"/>
        <v>0</v>
      </c>
    </row>
    <row r="180" spans="1:16" x14ac:dyDescent="0.25">
      <c r="A180" s="114" t="s">
        <v>270</v>
      </c>
      <c r="B180" s="114" t="s">
        <v>301</v>
      </c>
      <c r="C180" s="114">
        <v>301</v>
      </c>
      <c r="D180" s="114">
        <v>500</v>
      </c>
      <c r="E180" s="1" t="s">
        <v>263</v>
      </c>
      <c r="F180" s="35">
        <v>1001</v>
      </c>
      <c r="G180" s="35">
        <v>2500</v>
      </c>
      <c r="H180" s="127">
        <v>2500</v>
      </c>
      <c r="I180" s="138">
        <v>1.5</v>
      </c>
      <c r="J180" s="137"/>
      <c r="K180" s="138">
        <v>650</v>
      </c>
      <c r="L180" s="130">
        <f>I180*(H180/K180)</f>
        <v>5.7692307692307692</v>
      </c>
      <c r="M180" s="28">
        <f>+L180*$M$1</f>
        <v>185.76923076923077</v>
      </c>
      <c r="N180" s="162">
        <f>+M180/H180</f>
        <v>7.4307692307692311E-2</v>
      </c>
      <c r="O180" s="131">
        <f t="shared" si="18"/>
        <v>74.307692307692307</v>
      </c>
      <c r="P180" s="130">
        <f t="shared" si="16"/>
        <v>0</v>
      </c>
    </row>
    <row r="181" spans="1:16" x14ac:dyDescent="0.25">
      <c r="A181" s="114" t="s">
        <v>270</v>
      </c>
      <c r="B181" s="114" t="s">
        <v>301</v>
      </c>
      <c r="C181" s="114">
        <v>501</v>
      </c>
      <c r="D181" s="114">
        <v>1000</v>
      </c>
      <c r="E181" s="1" t="s">
        <v>263</v>
      </c>
      <c r="F181" s="35">
        <v>1001</v>
      </c>
      <c r="G181" s="35">
        <v>2500</v>
      </c>
      <c r="H181" s="127">
        <v>2500</v>
      </c>
      <c r="I181" s="138">
        <v>1.5</v>
      </c>
      <c r="J181" s="137"/>
      <c r="K181" s="138">
        <v>650</v>
      </c>
      <c r="L181" s="130">
        <f>I181*(H181/K181)</f>
        <v>5.7692307692307692</v>
      </c>
      <c r="M181" s="28">
        <f>+L181*$M$1</f>
        <v>185.76923076923077</v>
      </c>
      <c r="N181" s="162">
        <f>+M181/H181</f>
        <v>7.4307692307692311E-2</v>
      </c>
      <c r="O181" s="131">
        <f t="shared" si="18"/>
        <v>74.307692307692307</v>
      </c>
      <c r="P181" s="130">
        <f t="shared" si="16"/>
        <v>0</v>
      </c>
    </row>
    <row r="182" spans="1:16" hidden="1" x14ac:dyDescent="0.25">
      <c r="A182" s="114" t="s">
        <v>269</v>
      </c>
      <c r="B182" s="114" t="s">
        <v>301</v>
      </c>
      <c r="C182" s="114">
        <v>26</v>
      </c>
      <c r="D182" s="114">
        <v>60</v>
      </c>
      <c r="E182" s="1" t="s">
        <v>263</v>
      </c>
      <c r="F182" s="35">
        <v>5001</v>
      </c>
      <c r="G182" s="35">
        <v>25000</v>
      </c>
      <c r="H182" s="127">
        <v>25000</v>
      </c>
      <c r="I182" s="138">
        <v>1.5</v>
      </c>
      <c r="J182" s="137"/>
      <c r="K182" s="138">
        <v>1100</v>
      </c>
      <c r="L182" s="130">
        <f>I182*(H182/K182)</f>
        <v>34.090909090909093</v>
      </c>
      <c r="M182" s="28">
        <f>+L182*$M$1</f>
        <v>1097.727272727273</v>
      </c>
      <c r="N182" s="162">
        <f>+M182/H182</f>
        <v>4.3909090909090918E-2</v>
      </c>
      <c r="O182" s="131">
        <f t="shared" si="18"/>
        <v>43.909090909090921</v>
      </c>
      <c r="P182" s="130">
        <f t="shared" si="16"/>
        <v>0</v>
      </c>
    </row>
    <row r="183" spans="1:16" hidden="1" x14ac:dyDescent="0.25">
      <c r="A183" s="114" t="s">
        <v>269</v>
      </c>
      <c r="B183" s="114" t="s">
        <v>301</v>
      </c>
      <c r="C183" s="114">
        <v>26</v>
      </c>
      <c r="D183" s="114">
        <v>60</v>
      </c>
      <c r="E183" s="1" t="s">
        <v>265</v>
      </c>
      <c r="F183" s="35">
        <v>5001</v>
      </c>
      <c r="G183" s="35">
        <v>25000</v>
      </c>
      <c r="H183" s="127">
        <v>25000</v>
      </c>
      <c r="I183" s="138">
        <v>1.5</v>
      </c>
      <c r="J183" s="137"/>
      <c r="K183" s="138">
        <v>1000</v>
      </c>
      <c r="L183" s="130">
        <f>I183*(H183/K183)</f>
        <v>37.5</v>
      </c>
      <c r="M183" s="28">
        <f>+L183*$M$1</f>
        <v>1207.5</v>
      </c>
      <c r="N183" s="162">
        <f>+M183/H183</f>
        <v>4.8300000000000003E-2</v>
      </c>
      <c r="O183" s="131">
        <f t="shared" si="18"/>
        <v>48.300000000000004</v>
      </c>
      <c r="P183" s="130">
        <f t="shared" si="16"/>
        <v>0</v>
      </c>
    </row>
    <row r="184" spans="1:16" hidden="1" x14ac:dyDescent="0.25">
      <c r="A184" s="114" t="s">
        <v>269</v>
      </c>
      <c r="B184" s="114" t="s">
        <v>271</v>
      </c>
      <c r="C184" s="114">
        <v>26</v>
      </c>
      <c r="D184" s="114">
        <v>60</v>
      </c>
      <c r="E184" s="1" t="s">
        <v>263</v>
      </c>
      <c r="F184" s="35">
        <v>5001</v>
      </c>
      <c r="G184" s="35">
        <v>25000</v>
      </c>
      <c r="H184" s="127">
        <v>25000</v>
      </c>
      <c r="I184" s="138">
        <v>1.5</v>
      </c>
      <c r="J184" s="137"/>
      <c r="K184" s="138">
        <v>1100</v>
      </c>
      <c r="L184" s="130">
        <f>I184*(H184/K184)</f>
        <v>34.090909090909093</v>
      </c>
      <c r="M184" s="28">
        <f>+L184*$M$1</f>
        <v>1097.727272727273</v>
      </c>
      <c r="N184" s="162">
        <f>+M184/H184</f>
        <v>4.3909090909090918E-2</v>
      </c>
      <c r="O184" s="131">
        <f t="shared" si="18"/>
        <v>43.909090909090921</v>
      </c>
      <c r="P184" s="130">
        <f t="shared" si="16"/>
        <v>0</v>
      </c>
    </row>
    <row r="185" spans="1:16" hidden="1" x14ac:dyDescent="0.25">
      <c r="A185" s="114" t="s">
        <v>269</v>
      </c>
      <c r="B185" s="114" t="s">
        <v>271</v>
      </c>
      <c r="C185" s="114">
        <v>26</v>
      </c>
      <c r="D185" s="114">
        <v>60</v>
      </c>
      <c r="E185" s="1" t="s">
        <v>265</v>
      </c>
      <c r="F185" s="35">
        <v>5001</v>
      </c>
      <c r="G185" s="35">
        <v>25000</v>
      </c>
      <c r="H185" s="127">
        <v>25000</v>
      </c>
      <c r="I185" s="138">
        <v>1.5</v>
      </c>
      <c r="J185" s="137"/>
      <c r="K185" s="138">
        <v>1000</v>
      </c>
      <c r="L185" s="130">
        <f>I185*(H185/K185)</f>
        <v>37.5</v>
      </c>
      <c r="M185" s="28">
        <f>+L185*$M$1</f>
        <v>1207.5</v>
      </c>
      <c r="N185" s="162">
        <f>+M185/H185</f>
        <v>4.8300000000000003E-2</v>
      </c>
      <c r="O185" s="131">
        <f t="shared" ref="O185:O189" si="19">+N185*1000</f>
        <v>48.300000000000004</v>
      </c>
      <c r="P185" s="130">
        <f t="shared" si="16"/>
        <v>0</v>
      </c>
    </row>
    <row r="186" spans="1:16" hidden="1" x14ac:dyDescent="0.25">
      <c r="A186" s="114" t="s">
        <v>269</v>
      </c>
      <c r="B186" s="114" t="s">
        <v>301</v>
      </c>
      <c r="C186" s="114">
        <v>26</v>
      </c>
      <c r="D186" s="114">
        <v>60</v>
      </c>
      <c r="E186" s="1" t="s">
        <v>264</v>
      </c>
      <c r="F186" s="35">
        <v>5001</v>
      </c>
      <c r="G186" s="35">
        <v>25000</v>
      </c>
      <c r="H186" s="127">
        <v>25000</v>
      </c>
      <c r="I186" s="138">
        <v>2.5</v>
      </c>
      <c r="J186" s="137"/>
      <c r="K186" s="138">
        <v>1100</v>
      </c>
      <c r="L186" s="130">
        <f>I186*(H186/K186)</f>
        <v>56.818181818181813</v>
      </c>
      <c r="M186" s="28">
        <f>+L186*$M$1</f>
        <v>1829.5454545454545</v>
      </c>
      <c r="N186" s="162">
        <f>+M186/H186</f>
        <v>7.3181818181818181E-2</v>
      </c>
      <c r="O186" s="131">
        <f t="shared" si="19"/>
        <v>73.181818181818187</v>
      </c>
      <c r="P186" s="130">
        <f t="shared" si="16"/>
        <v>0</v>
      </c>
    </row>
    <row r="187" spans="1:16" hidden="1" x14ac:dyDescent="0.25">
      <c r="A187" s="114" t="s">
        <v>269</v>
      </c>
      <c r="B187" s="114" t="s">
        <v>301</v>
      </c>
      <c r="C187" s="114">
        <v>26</v>
      </c>
      <c r="D187" s="114">
        <v>60</v>
      </c>
      <c r="E187" s="1" t="s">
        <v>266</v>
      </c>
      <c r="F187" s="35">
        <v>5001</v>
      </c>
      <c r="G187" s="35">
        <v>25000</v>
      </c>
      <c r="H187" s="127">
        <v>25000</v>
      </c>
      <c r="I187" s="138">
        <v>2.5</v>
      </c>
      <c r="J187" s="137"/>
      <c r="K187" s="138">
        <v>1000</v>
      </c>
      <c r="L187" s="130">
        <f>I187*(H187/K187)</f>
        <v>62.5</v>
      </c>
      <c r="M187" s="28">
        <f>+L187*$M$1</f>
        <v>2012.5000000000002</v>
      </c>
      <c r="N187" s="162">
        <f>+M187/H187</f>
        <v>8.0500000000000016E-2</v>
      </c>
      <c r="O187" s="131">
        <f t="shared" si="19"/>
        <v>80.500000000000014</v>
      </c>
      <c r="P187" s="130">
        <f t="shared" si="16"/>
        <v>0</v>
      </c>
    </row>
    <row r="188" spans="1:16" hidden="1" x14ac:dyDescent="0.25">
      <c r="A188" s="114" t="s">
        <v>269</v>
      </c>
      <c r="B188" s="114" t="s">
        <v>271</v>
      </c>
      <c r="C188" s="114">
        <v>26</v>
      </c>
      <c r="D188" s="114">
        <v>60</v>
      </c>
      <c r="E188" s="1" t="s">
        <v>264</v>
      </c>
      <c r="F188" s="35">
        <v>5001</v>
      </c>
      <c r="G188" s="35">
        <v>25000</v>
      </c>
      <c r="H188" s="127">
        <v>25000</v>
      </c>
      <c r="I188" s="138">
        <v>2.5</v>
      </c>
      <c r="J188" s="137"/>
      <c r="K188" s="138">
        <v>1100</v>
      </c>
      <c r="L188" s="130">
        <f>I188*(H188/K188)</f>
        <v>56.818181818181813</v>
      </c>
      <c r="M188" s="28">
        <f>+L188*$M$1</f>
        <v>1829.5454545454545</v>
      </c>
      <c r="N188" s="162">
        <f>+M188/H188</f>
        <v>7.3181818181818181E-2</v>
      </c>
      <c r="O188" s="131">
        <f t="shared" si="19"/>
        <v>73.181818181818187</v>
      </c>
      <c r="P188" s="130">
        <f t="shared" si="16"/>
        <v>0</v>
      </c>
    </row>
    <row r="189" spans="1:16" hidden="1" x14ac:dyDescent="0.25">
      <c r="A189" s="114" t="s">
        <v>269</v>
      </c>
      <c r="B189" s="114" t="s">
        <v>271</v>
      </c>
      <c r="C189" s="114">
        <v>26</v>
      </c>
      <c r="D189" s="114">
        <v>60</v>
      </c>
      <c r="E189" s="1" t="s">
        <v>266</v>
      </c>
      <c r="F189" s="35">
        <v>5001</v>
      </c>
      <c r="G189" s="35">
        <v>25000</v>
      </c>
      <c r="H189" s="127">
        <v>25000</v>
      </c>
      <c r="I189" s="138">
        <v>2.5</v>
      </c>
      <c r="J189" s="137"/>
      <c r="K189" s="138">
        <v>1000</v>
      </c>
      <c r="L189" s="130">
        <f>I189*(H189/K189)</f>
        <v>62.5</v>
      </c>
      <c r="M189" s="28">
        <f>+L189*$M$1</f>
        <v>2012.5000000000002</v>
      </c>
      <c r="N189" s="162">
        <f>+M189/H189</f>
        <v>8.0500000000000016E-2</v>
      </c>
      <c r="O189" s="131">
        <f t="shared" si="19"/>
        <v>80.500000000000014</v>
      </c>
      <c r="P189" s="130">
        <f t="shared" si="16"/>
        <v>0</v>
      </c>
    </row>
    <row r="190" spans="1:16" hidden="1" x14ac:dyDescent="0.25">
      <c r="A190" s="114" t="s">
        <v>269</v>
      </c>
      <c r="B190" s="114" t="s">
        <v>271</v>
      </c>
      <c r="C190" s="114">
        <v>26</v>
      </c>
      <c r="D190" s="114">
        <v>60</v>
      </c>
      <c r="E190" s="1" t="s">
        <v>50</v>
      </c>
      <c r="F190" s="35">
        <v>5001</v>
      </c>
      <c r="G190" s="35">
        <v>25000</v>
      </c>
      <c r="H190" s="127">
        <v>25000</v>
      </c>
      <c r="I190" s="138">
        <v>5.5</v>
      </c>
      <c r="J190" s="137"/>
      <c r="K190" s="138">
        <v>450</v>
      </c>
      <c r="L190" s="130">
        <f>I190*(H190/K190)</f>
        <v>305.55555555555554</v>
      </c>
      <c r="M190" s="28">
        <f>+L190*$M$1</f>
        <v>9838.8888888888887</v>
      </c>
      <c r="N190" s="162">
        <f>+M190/H190</f>
        <v>0.39355555555555555</v>
      </c>
      <c r="O190" s="131">
        <f t="shared" ref="O190:O219" si="20">+N190*1000</f>
        <v>393.55555555555554</v>
      </c>
      <c r="P190" s="130">
        <f t="shared" si="16"/>
        <v>0</v>
      </c>
    </row>
    <row r="191" spans="1:16" hidden="1" x14ac:dyDescent="0.25">
      <c r="A191" s="114" t="s">
        <v>269</v>
      </c>
      <c r="B191" s="114" t="s">
        <v>271</v>
      </c>
      <c r="C191" s="114">
        <v>26</v>
      </c>
      <c r="D191" s="114">
        <v>60</v>
      </c>
      <c r="E191" s="1" t="s">
        <v>277</v>
      </c>
      <c r="F191" s="35">
        <v>10001</v>
      </c>
      <c r="G191" s="35">
        <v>999999</v>
      </c>
      <c r="H191" s="127">
        <v>25000</v>
      </c>
      <c r="I191" s="138">
        <v>3.5</v>
      </c>
      <c r="J191" s="137"/>
      <c r="K191" s="138">
        <v>525</v>
      </c>
      <c r="L191" s="130">
        <f>I191*(H191/K191)</f>
        <v>166.66666666666669</v>
      </c>
      <c r="M191" s="28">
        <f>+L191*$M$1</f>
        <v>5366.6666666666679</v>
      </c>
      <c r="N191" s="162">
        <f>+M191/H191</f>
        <v>0.21466666666666673</v>
      </c>
      <c r="O191" s="131">
        <f t="shared" si="20"/>
        <v>214.66666666666671</v>
      </c>
      <c r="P191" s="130">
        <f t="shared" si="16"/>
        <v>0</v>
      </c>
    </row>
    <row r="192" spans="1:16" hidden="1" x14ac:dyDescent="0.25">
      <c r="A192" s="114" t="s">
        <v>269</v>
      </c>
      <c r="B192" s="114" t="s">
        <v>271</v>
      </c>
      <c r="C192" s="114">
        <v>26</v>
      </c>
      <c r="D192" s="114">
        <v>60</v>
      </c>
      <c r="E192" s="1" t="s">
        <v>273</v>
      </c>
      <c r="F192" s="35">
        <v>10001</v>
      </c>
      <c r="G192" s="35">
        <v>999999</v>
      </c>
      <c r="H192" s="127">
        <v>25000</v>
      </c>
      <c r="I192" s="138">
        <v>4.5</v>
      </c>
      <c r="J192" s="137"/>
      <c r="K192" s="138">
        <v>525</v>
      </c>
      <c r="L192" s="130">
        <f>I192*(H192/K192)</f>
        <v>214.28571428571428</v>
      </c>
      <c r="M192" s="28">
        <f>+L192*$M$1</f>
        <v>6900</v>
      </c>
      <c r="N192" s="162">
        <f>+M192/H192</f>
        <v>0.27600000000000002</v>
      </c>
      <c r="O192" s="131">
        <f t="shared" si="20"/>
        <v>276</v>
      </c>
      <c r="P192" s="130">
        <f t="shared" si="16"/>
        <v>0</v>
      </c>
    </row>
    <row r="193" spans="1:16" hidden="1" x14ac:dyDescent="0.25">
      <c r="A193" s="114" t="s">
        <v>269</v>
      </c>
      <c r="B193" s="114" t="s">
        <v>301</v>
      </c>
      <c r="C193" s="114">
        <v>61</v>
      </c>
      <c r="D193" s="114">
        <v>150</v>
      </c>
      <c r="E193" s="1" t="s">
        <v>263</v>
      </c>
      <c r="F193" s="35">
        <v>0</v>
      </c>
      <c r="G193" s="35">
        <v>500</v>
      </c>
      <c r="H193" s="127">
        <v>500</v>
      </c>
      <c r="I193" s="138">
        <v>1.5</v>
      </c>
      <c r="J193" s="138">
        <v>1.5</v>
      </c>
      <c r="K193" s="136"/>
      <c r="L193" s="130">
        <f>+I193*J193</f>
        <v>2.25</v>
      </c>
      <c r="M193" s="28">
        <f>+L193*$M$1</f>
        <v>72.45</v>
      </c>
      <c r="N193" s="162">
        <f>+M193/H193</f>
        <v>0.1449</v>
      </c>
      <c r="O193" s="131">
        <f t="shared" si="20"/>
        <v>144.9</v>
      </c>
      <c r="P193" s="130">
        <f t="shared" si="16"/>
        <v>0.1875</v>
      </c>
    </row>
    <row r="194" spans="1:16" hidden="1" x14ac:dyDescent="0.25">
      <c r="A194" s="114" t="s">
        <v>269</v>
      </c>
      <c r="B194" s="114" t="s">
        <v>301</v>
      </c>
      <c r="C194" s="114">
        <v>61</v>
      </c>
      <c r="D194" s="114">
        <v>150</v>
      </c>
      <c r="E194" s="1" t="s">
        <v>265</v>
      </c>
      <c r="F194" s="35">
        <v>0</v>
      </c>
      <c r="G194" s="35">
        <v>500</v>
      </c>
      <c r="H194" s="127">
        <v>500</v>
      </c>
      <c r="I194" s="138">
        <v>1.5</v>
      </c>
      <c r="J194" s="138">
        <v>1.5</v>
      </c>
      <c r="K194" s="136"/>
      <c r="L194" s="130">
        <f>+I194*J194</f>
        <v>2.25</v>
      </c>
      <c r="M194" s="28">
        <f>+L194*$M$1</f>
        <v>72.45</v>
      </c>
      <c r="N194" s="162">
        <f>+M194/H194</f>
        <v>0.1449</v>
      </c>
      <c r="O194" s="131">
        <f t="shared" si="20"/>
        <v>144.9</v>
      </c>
      <c r="P194" s="130">
        <f t="shared" si="16"/>
        <v>0.1875</v>
      </c>
    </row>
    <row r="195" spans="1:16" hidden="1" x14ac:dyDescent="0.25">
      <c r="A195" s="114" t="s">
        <v>269</v>
      </c>
      <c r="B195" s="114" t="s">
        <v>271</v>
      </c>
      <c r="C195" s="114">
        <v>61</v>
      </c>
      <c r="D195" s="114">
        <v>100</v>
      </c>
      <c r="E195" s="1" t="s">
        <v>263</v>
      </c>
      <c r="F195" s="35">
        <v>0</v>
      </c>
      <c r="G195" s="35">
        <v>500</v>
      </c>
      <c r="H195" s="127">
        <v>500</v>
      </c>
      <c r="I195" s="138">
        <v>1.5</v>
      </c>
      <c r="J195" s="138">
        <v>1.5</v>
      </c>
      <c r="K195" s="136"/>
      <c r="L195" s="130">
        <f>+I195*J195</f>
        <v>2.25</v>
      </c>
      <c r="M195" s="28">
        <f>+L195*$M$1</f>
        <v>72.45</v>
      </c>
      <c r="N195" s="162">
        <f>+M195/H195</f>
        <v>0.1449</v>
      </c>
      <c r="O195" s="131">
        <f t="shared" si="20"/>
        <v>144.9</v>
      </c>
      <c r="P195" s="130">
        <f t="shared" si="16"/>
        <v>0.1875</v>
      </c>
    </row>
    <row r="196" spans="1:16" hidden="1" x14ac:dyDescent="0.25">
      <c r="A196" s="114" t="s">
        <v>269</v>
      </c>
      <c r="B196" s="114" t="s">
        <v>271</v>
      </c>
      <c r="C196" s="114">
        <v>61</v>
      </c>
      <c r="D196" s="114">
        <v>100</v>
      </c>
      <c r="E196" s="1" t="s">
        <v>265</v>
      </c>
      <c r="F196" s="35">
        <v>0</v>
      </c>
      <c r="G196" s="35">
        <v>500</v>
      </c>
      <c r="H196" s="127">
        <v>500</v>
      </c>
      <c r="I196" s="138">
        <v>1.5</v>
      </c>
      <c r="J196" s="138">
        <v>1.5</v>
      </c>
      <c r="K196" s="136"/>
      <c r="L196" s="130">
        <f>+I196*J196</f>
        <v>2.25</v>
      </c>
      <c r="M196" s="28">
        <f>+L196*$M$1</f>
        <v>72.45</v>
      </c>
      <c r="N196" s="162">
        <f>+M196/H196</f>
        <v>0.1449</v>
      </c>
      <c r="O196" s="131">
        <f t="shared" si="20"/>
        <v>144.9</v>
      </c>
      <c r="P196" s="130">
        <f t="shared" si="16"/>
        <v>0.1875</v>
      </c>
    </row>
    <row r="197" spans="1:16" hidden="1" x14ac:dyDescent="0.25">
      <c r="A197" s="114" t="s">
        <v>269</v>
      </c>
      <c r="B197" s="114" t="s">
        <v>301</v>
      </c>
      <c r="C197" s="114">
        <v>61</v>
      </c>
      <c r="D197" s="114">
        <v>150</v>
      </c>
      <c r="E197" s="1" t="s">
        <v>264</v>
      </c>
      <c r="F197" s="35">
        <v>0</v>
      </c>
      <c r="G197" s="35">
        <v>500</v>
      </c>
      <c r="H197" s="127">
        <v>500</v>
      </c>
      <c r="I197" s="138">
        <v>2.5</v>
      </c>
      <c r="J197" s="138">
        <v>1.5</v>
      </c>
      <c r="K197" s="136"/>
      <c r="L197" s="130">
        <f>+I197*J197</f>
        <v>3.75</v>
      </c>
      <c r="M197" s="28">
        <f>+L197*$M$1</f>
        <v>120.75000000000001</v>
      </c>
      <c r="N197" s="162">
        <f>+M197/H197</f>
        <v>0.24150000000000002</v>
      </c>
      <c r="O197" s="131">
        <f t="shared" si="20"/>
        <v>241.50000000000003</v>
      </c>
      <c r="P197" s="130">
        <f t="shared" si="16"/>
        <v>0.1875</v>
      </c>
    </row>
    <row r="198" spans="1:16" hidden="1" x14ac:dyDescent="0.25">
      <c r="A198" s="114" t="s">
        <v>269</v>
      </c>
      <c r="B198" s="114" t="s">
        <v>301</v>
      </c>
      <c r="C198" s="114">
        <v>61</v>
      </c>
      <c r="D198" s="114">
        <v>150</v>
      </c>
      <c r="E198" s="1" t="s">
        <v>266</v>
      </c>
      <c r="F198" s="35">
        <v>0</v>
      </c>
      <c r="G198" s="35">
        <v>500</v>
      </c>
      <c r="H198" s="127">
        <v>500</v>
      </c>
      <c r="I198" s="138">
        <v>2.5</v>
      </c>
      <c r="J198" s="138">
        <v>1.5</v>
      </c>
      <c r="K198" s="136"/>
      <c r="L198" s="130">
        <f>+I198*J198</f>
        <v>3.75</v>
      </c>
      <c r="M198" s="28">
        <f>+L198*$M$1</f>
        <v>120.75000000000001</v>
      </c>
      <c r="N198" s="162">
        <f>+M198/H198</f>
        <v>0.24150000000000002</v>
      </c>
      <c r="O198" s="131">
        <f t="shared" si="20"/>
        <v>241.50000000000003</v>
      </c>
      <c r="P198" s="130">
        <f t="shared" si="16"/>
        <v>0.1875</v>
      </c>
    </row>
    <row r="199" spans="1:16" hidden="1" x14ac:dyDescent="0.25">
      <c r="A199" s="114" t="s">
        <v>269</v>
      </c>
      <c r="B199" s="114" t="s">
        <v>271</v>
      </c>
      <c r="C199" s="114">
        <v>61</v>
      </c>
      <c r="D199" s="114">
        <v>100</v>
      </c>
      <c r="E199" s="1" t="s">
        <v>264</v>
      </c>
      <c r="F199" s="35">
        <v>0</v>
      </c>
      <c r="G199" s="35">
        <v>500</v>
      </c>
      <c r="H199" s="127">
        <v>500</v>
      </c>
      <c r="I199" s="138">
        <v>2.5</v>
      </c>
      <c r="J199" s="138">
        <v>1.5</v>
      </c>
      <c r="K199" s="136"/>
      <c r="L199" s="130">
        <f>+I199*J199</f>
        <v>3.75</v>
      </c>
      <c r="M199" s="28">
        <f>+L199*$M$1</f>
        <v>120.75000000000001</v>
      </c>
      <c r="N199" s="162">
        <f>+M199/H199</f>
        <v>0.24150000000000002</v>
      </c>
      <c r="O199" s="131">
        <f t="shared" si="20"/>
        <v>241.50000000000003</v>
      </c>
      <c r="P199" s="130">
        <f t="shared" si="16"/>
        <v>0.1875</v>
      </c>
    </row>
    <row r="200" spans="1:16" x14ac:dyDescent="0.25">
      <c r="A200" s="114" t="s">
        <v>270</v>
      </c>
      <c r="B200" s="114" t="s">
        <v>301</v>
      </c>
      <c r="C200" s="114">
        <v>151</v>
      </c>
      <c r="D200" s="114">
        <v>300</v>
      </c>
      <c r="E200" s="1" t="s">
        <v>264</v>
      </c>
      <c r="F200" s="35">
        <v>1001</v>
      </c>
      <c r="G200" s="35">
        <v>2500</v>
      </c>
      <c r="H200" s="127">
        <v>2500</v>
      </c>
      <c r="I200" s="138">
        <v>2.5</v>
      </c>
      <c r="J200" s="137"/>
      <c r="K200" s="138">
        <v>650</v>
      </c>
      <c r="L200" s="130">
        <f>I200*(H200/K200)</f>
        <v>9.615384615384615</v>
      </c>
      <c r="M200" s="28">
        <f>+L200*$M$1</f>
        <v>309.61538461538464</v>
      </c>
      <c r="N200" s="162">
        <f>+M200/H200</f>
        <v>0.12384615384615386</v>
      </c>
      <c r="O200" s="131">
        <f t="shared" si="20"/>
        <v>123.84615384615385</v>
      </c>
      <c r="P200" s="130">
        <f t="shared" si="16"/>
        <v>0</v>
      </c>
    </row>
    <row r="201" spans="1:16" x14ac:dyDescent="0.25">
      <c r="A201" s="114" t="s">
        <v>270</v>
      </c>
      <c r="B201" s="114" t="s">
        <v>301</v>
      </c>
      <c r="C201" s="114">
        <v>301</v>
      </c>
      <c r="D201" s="114">
        <v>500</v>
      </c>
      <c r="E201" s="1" t="s">
        <v>264</v>
      </c>
      <c r="F201" s="35">
        <v>1001</v>
      </c>
      <c r="G201" s="35">
        <v>2500</v>
      </c>
      <c r="H201" s="127">
        <v>2500</v>
      </c>
      <c r="I201" s="138">
        <v>2.5</v>
      </c>
      <c r="J201" s="137"/>
      <c r="K201" s="138">
        <v>650</v>
      </c>
      <c r="L201" s="130">
        <f>I201*(H201/K201)</f>
        <v>9.615384615384615</v>
      </c>
      <c r="M201" s="28">
        <f>+L201*$M$1</f>
        <v>309.61538461538464</v>
      </c>
      <c r="N201" s="162">
        <f>+M201/H201</f>
        <v>0.12384615384615386</v>
      </c>
      <c r="O201" s="131">
        <f t="shared" si="20"/>
        <v>123.84615384615385</v>
      </c>
      <c r="P201" s="130">
        <f t="shared" si="16"/>
        <v>0</v>
      </c>
    </row>
    <row r="202" spans="1:16" x14ac:dyDescent="0.25">
      <c r="A202" s="114" t="s">
        <v>270</v>
      </c>
      <c r="B202" s="114" t="s">
        <v>301</v>
      </c>
      <c r="C202" s="114">
        <v>501</v>
      </c>
      <c r="D202" s="114">
        <v>1000</v>
      </c>
      <c r="E202" s="1" t="s">
        <v>264</v>
      </c>
      <c r="F202" s="35">
        <v>1001</v>
      </c>
      <c r="G202" s="35">
        <v>2500</v>
      </c>
      <c r="H202" s="127">
        <v>2500</v>
      </c>
      <c r="I202" s="138">
        <v>2.5</v>
      </c>
      <c r="J202" s="137"/>
      <c r="K202" s="138">
        <v>650</v>
      </c>
      <c r="L202" s="130">
        <f>I202*(H202/K202)</f>
        <v>9.615384615384615</v>
      </c>
      <c r="M202" s="28">
        <f>+L202*$M$1</f>
        <v>309.61538461538464</v>
      </c>
      <c r="N202" s="162">
        <f>+M202/H202</f>
        <v>0.12384615384615386</v>
      </c>
      <c r="O202" s="131">
        <f t="shared" si="20"/>
        <v>123.84615384615385</v>
      </c>
      <c r="P202" s="130">
        <f t="shared" si="16"/>
        <v>0</v>
      </c>
    </row>
    <row r="203" spans="1:16" hidden="1" x14ac:dyDescent="0.25">
      <c r="A203" s="114" t="s">
        <v>269</v>
      </c>
      <c r="B203" s="114" t="s">
        <v>271</v>
      </c>
      <c r="C203" s="114">
        <v>61</v>
      </c>
      <c r="D203" s="114">
        <v>100</v>
      </c>
      <c r="E203" s="1" t="s">
        <v>266</v>
      </c>
      <c r="F203" s="35">
        <v>0</v>
      </c>
      <c r="G203" s="35">
        <v>500</v>
      </c>
      <c r="H203" s="127">
        <v>500</v>
      </c>
      <c r="I203" s="138">
        <v>2.5</v>
      </c>
      <c r="J203" s="138">
        <v>1.5</v>
      </c>
      <c r="K203" s="136"/>
      <c r="L203" s="130">
        <f>+I203*J203</f>
        <v>3.75</v>
      </c>
      <c r="M203" s="28">
        <f>+L203*$M$1</f>
        <v>120.75000000000001</v>
      </c>
      <c r="N203" s="162">
        <f>+M203/H203</f>
        <v>0.24150000000000002</v>
      </c>
      <c r="O203" s="131">
        <f t="shared" si="20"/>
        <v>241.50000000000003</v>
      </c>
      <c r="P203" s="130">
        <f t="shared" si="16"/>
        <v>0.1875</v>
      </c>
    </row>
    <row r="204" spans="1:16" hidden="1" x14ac:dyDescent="0.25">
      <c r="A204" s="114" t="s">
        <v>269</v>
      </c>
      <c r="B204" s="114" t="s">
        <v>301</v>
      </c>
      <c r="C204" s="114">
        <v>61</v>
      </c>
      <c r="D204" s="114">
        <v>150</v>
      </c>
      <c r="E204" s="1" t="s">
        <v>17</v>
      </c>
      <c r="F204" s="35">
        <v>0</v>
      </c>
      <c r="G204" s="35">
        <v>500</v>
      </c>
      <c r="H204" s="127">
        <v>500</v>
      </c>
      <c r="I204" s="138">
        <v>3.5</v>
      </c>
      <c r="J204" s="138">
        <v>1</v>
      </c>
      <c r="K204" s="136"/>
      <c r="L204" s="130">
        <f>+I204*J204</f>
        <v>3.5</v>
      </c>
      <c r="M204" s="28">
        <f>+L204*$M$1</f>
        <v>112.70000000000002</v>
      </c>
      <c r="N204" s="162">
        <f>+M204/H204</f>
        <v>0.22540000000000004</v>
      </c>
      <c r="O204" s="131">
        <f t="shared" si="20"/>
        <v>225.40000000000003</v>
      </c>
      <c r="P204" s="130">
        <f t="shared" si="16"/>
        <v>0.125</v>
      </c>
    </row>
    <row r="205" spans="1:16" hidden="1" x14ac:dyDescent="0.25">
      <c r="A205" s="114" t="s">
        <v>269</v>
      </c>
      <c r="B205" s="114" t="s">
        <v>271</v>
      </c>
      <c r="C205" s="114">
        <v>61</v>
      </c>
      <c r="D205" s="114">
        <v>100</v>
      </c>
      <c r="E205" s="1" t="s">
        <v>277</v>
      </c>
      <c r="F205" s="35">
        <v>0</v>
      </c>
      <c r="G205" s="35">
        <v>500</v>
      </c>
      <c r="H205" s="127">
        <v>500</v>
      </c>
      <c r="I205" s="138">
        <v>3.5</v>
      </c>
      <c r="J205" s="138">
        <v>2</v>
      </c>
      <c r="K205" s="136"/>
      <c r="L205" s="130">
        <f>+I205*J205</f>
        <v>7</v>
      </c>
      <c r="M205" s="28">
        <f>+L205*$M$1</f>
        <v>225.40000000000003</v>
      </c>
      <c r="N205" s="162">
        <f>+M205/H205</f>
        <v>0.45080000000000009</v>
      </c>
      <c r="O205" s="131">
        <f t="shared" si="20"/>
        <v>450.80000000000007</v>
      </c>
      <c r="P205" s="130">
        <f t="shared" si="16"/>
        <v>0.25</v>
      </c>
    </row>
    <row r="206" spans="1:16" hidden="1" x14ac:dyDescent="0.25">
      <c r="A206" s="114" t="s">
        <v>269</v>
      </c>
      <c r="B206" s="114" t="s">
        <v>301</v>
      </c>
      <c r="C206" s="114">
        <v>61</v>
      </c>
      <c r="D206" s="114">
        <v>150</v>
      </c>
      <c r="E206" s="1" t="s">
        <v>50</v>
      </c>
      <c r="F206" s="35">
        <v>0</v>
      </c>
      <c r="G206" s="35">
        <v>500</v>
      </c>
      <c r="H206" s="127">
        <v>500</v>
      </c>
      <c r="I206" s="138">
        <v>4.5</v>
      </c>
      <c r="J206" s="138">
        <v>2.5</v>
      </c>
      <c r="K206" s="136"/>
      <c r="L206" s="130">
        <f>+I206*J206</f>
        <v>11.25</v>
      </c>
      <c r="M206" s="28">
        <f>+L206*$M$1</f>
        <v>362.25000000000006</v>
      </c>
      <c r="N206" s="162">
        <f>+M206/H206</f>
        <v>0.72450000000000014</v>
      </c>
      <c r="O206" s="131">
        <f t="shared" si="20"/>
        <v>724.50000000000011</v>
      </c>
      <c r="P206" s="130">
        <f t="shared" si="16"/>
        <v>0.3125</v>
      </c>
    </row>
    <row r="207" spans="1:16" hidden="1" x14ac:dyDescent="0.25">
      <c r="A207" s="114" t="s">
        <v>269</v>
      </c>
      <c r="B207" s="114" t="s">
        <v>271</v>
      </c>
      <c r="C207" s="114">
        <v>61</v>
      </c>
      <c r="D207" s="114">
        <v>100</v>
      </c>
      <c r="E207" s="1" t="s">
        <v>273</v>
      </c>
      <c r="F207" s="35">
        <v>0</v>
      </c>
      <c r="G207" s="35">
        <v>500</v>
      </c>
      <c r="H207" s="127">
        <v>500</v>
      </c>
      <c r="I207" s="138">
        <v>4.5</v>
      </c>
      <c r="J207" s="138">
        <v>2</v>
      </c>
      <c r="K207" s="136"/>
      <c r="L207" s="130">
        <f>+I207*J207</f>
        <v>9</v>
      </c>
      <c r="M207" s="28">
        <f>+L207*$M$1</f>
        <v>289.8</v>
      </c>
      <c r="N207" s="162">
        <f>+M207/H207</f>
        <v>0.5796</v>
      </c>
      <c r="O207" s="131">
        <f t="shared" si="20"/>
        <v>579.6</v>
      </c>
      <c r="P207" s="130">
        <f t="shared" ref="P207:P270" si="21">+J207/8</f>
        <v>0.25</v>
      </c>
    </row>
    <row r="208" spans="1:16" hidden="1" x14ac:dyDescent="0.25">
      <c r="A208" s="114" t="s">
        <v>269</v>
      </c>
      <c r="B208" s="114" t="s">
        <v>271</v>
      </c>
      <c r="C208" s="114">
        <v>61</v>
      </c>
      <c r="D208" s="114">
        <v>100</v>
      </c>
      <c r="E208" s="1" t="s">
        <v>50</v>
      </c>
      <c r="F208" s="35">
        <v>0</v>
      </c>
      <c r="G208" s="35">
        <v>500</v>
      </c>
      <c r="H208" s="127">
        <v>500</v>
      </c>
      <c r="I208" s="138">
        <v>5.5</v>
      </c>
      <c r="J208" s="138">
        <v>2.5</v>
      </c>
      <c r="K208" s="136"/>
      <c r="L208" s="130">
        <f>+I208*J208</f>
        <v>13.75</v>
      </c>
      <c r="M208" s="28">
        <f>+L208*$M$1</f>
        <v>442.75000000000006</v>
      </c>
      <c r="N208" s="162">
        <f>+M208/H208</f>
        <v>0.88550000000000006</v>
      </c>
      <c r="O208" s="131">
        <f t="shared" si="20"/>
        <v>885.50000000000011</v>
      </c>
      <c r="P208" s="130">
        <f t="shared" si="21"/>
        <v>0.3125</v>
      </c>
    </row>
    <row r="209" spans="1:16" hidden="1" x14ac:dyDescent="0.25">
      <c r="A209" s="114" t="s">
        <v>269</v>
      </c>
      <c r="B209" s="114" t="s">
        <v>301</v>
      </c>
      <c r="C209" s="114">
        <v>61</v>
      </c>
      <c r="D209" s="114">
        <v>150</v>
      </c>
      <c r="E209" s="1" t="s">
        <v>263</v>
      </c>
      <c r="F209" s="35">
        <v>501</v>
      </c>
      <c r="G209" s="35">
        <v>1000</v>
      </c>
      <c r="H209" s="127">
        <v>1000</v>
      </c>
      <c r="I209" s="138">
        <v>1.5</v>
      </c>
      <c r="J209" s="138">
        <v>2</v>
      </c>
      <c r="K209" s="136"/>
      <c r="L209" s="130">
        <f>+I209*J209</f>
        <v>3</v>
      </c>
      <c r="M209" s="28">
        <f>+L209*$M$1</f>
        <v>96.600000000000009</v>
      </c>
      <c r="N209" s="162">
        <f>+M209/H209</f>
        <v>9.6600000000000005E-2</v>
      </c>
      <c r="O209" s="131">
        <f t="shared" si="20"/>
        <v>96.600000000000009</v>
      </c>
      <c r="P209" s="130">
        <f t="shared" si="21"/>
        <v>0.25</v>
      </c>
    </row>
    <row r="210" spans="1:16" hidden="1" x14ac:dyDescent="0.25">
      <c r="A210" s="114" t="s">
        <v>269</v>
      </c>
      <c r="B210" s="114" t="s">
        <v>301</v>
      </c>
      <c r="C210" s="114">
        <v>61</v>
      </c>
      <c r="D210" s="114">
        <v>150</v>
      </c>
      <c r="E210" s="1" t="s">
        <v>265</v>
      </c>
      <c r="F210" s="35">
        <v>501</v>
      </c>
      <c r="G210" s="35">
        <v>1000</v>
      </c>
      <c r="H210" s="127">
        <v>1000</v>
      </c>
      <c r="I210" s="138">
        <v>1.5</v>
      </c>
      <c r="J210" s="138">
        <v>2.5</v>
      </c>
      <c r="K210" s="136"/>
      <c r="L210" s="130">
        <f>+I210*J210</f>
        <v>3.75</v>
      </c>
      <c r="M210" s="28">
        <f>+L210*$M$1</f>
        <v>120.75000000000001</v>
      </c>
      <c r="N210" s="162">
        <f>+M210/H210</f>
        <v>0.12075000000000001</v>
      </c>
      <c r="O210" s="131">
        <f t="shared" si="20"/>
        <v>120.75000000000001</v>
      </c>
      <c r="P210" s="130">
        <f t="shared" si="21"/>
        <v>0.3125</v>
      </c>
    </row>
    <row r="211" spans="1:16" hidden="1" x14ac:dyDescent="0.25">
      <c r="A211" s="114" t="s">
        <v>269</v>
      </c>
      <c r="B211" s="114" t="s">
        <v>271</v>
      </c>
      <c r="C211" s="114">
        <v>61</v>
      </c>
      <c r="D211" s="114">
        <v>100</v>
      </c>
      <c r="E211" s="1" t="s">
        <v>263</v>
      </c>
      <c r="F211" s="35">
        <v>501</v>
      </c>
      <c r="G211" s="35">
        <v>1000</v>
      </c>
      <c r="H211" s="127">
        <v>1000</v>
      </c>
      <c r="I211" s="138">
        <v>1.5</v>
      </c>
      <c r="J211" s="138">
        <v>2</v>
      </c>
      <c r="K211" s="136"/>
      <c r="L211" s="130">
        <f>+I211*J211</f>
        <v>3</v>
      </c>
      <c r="M211" s="28">
        <f>+L211*$M$1</f>
        <v>96.600000000000009</v>
      </c>
      <c r="N211" s="162">
        <f>+M211/H211</f>
        <v>9.6600000000000005E-2</v>
      </c>
      <c r="O211" s="131">
        <f t="shared" si="20"/>
        <v>96.600000000000009</v>
      </c>
      <c r="P211" s="130">
        <f t="shared" si="21"/>
        <v>0.25</v>
      </c>
    </row>
    <row r="212" spans="1:16" hidden="1" x14ac:dyDescent="0.25">
      <c r="A212" s="114" t="s">
        <v>269</v>
      </c>
      <c r="B212" s="114" t="s">
        <v>271</v>
      </c>
      <c r="C212" s="114">
        <v>61</v>
      </c>
      <c r="D212" s="114">
        <v>100</v>
      </c>
      <c r="E212" s="1" t="s">
        <v>265</v>
      </c>
      <c r="F212" s="35">
        <v>501</v>
      </c>
      <c r="G212" s="35">
        <v>1000</v>
      </c>
      <c r="H212" s="127">
        <v>1000</v>
      </c>
      <c r="I212" s="138">
        <v>1.5</v>
      </c>
      <c r="J212" s="138">
        <v>2.5</v>
      </c>
      <c r="K212" s="136"/>
      <c r="L212" s="130">
        <f>+I212*J212</f>
        <v>3.75</v>
      </c>
      <c r="M212" s="28">
        <f>+L212*$M$1</f>
        <v>120.75000000000001</v>
      </c>
      <c r="N212" s="162">
        <f>+M212/H212</f>
        <v>0.12075000000000001</v>
      </c>
      <c r="O212" s="131">
        <f t="shared" si="20"/>
        <v>120.75000000000001</v>
      </c>
      <c r="P212" s="130">
        <f t="shared" si="21"/>
        <v>0.3125</v>
      </c>
    </row>
    <row r="213" spans="1:16" hidden="1" x14ac:dyDescent="0.25">
      <c r="A213" s="114" t="s">
        <v>269</v>
      </c>
      <c r="B213" s="114" t="s">
        <v>301</v>
      </c>
      <c r="C213" s="114">
        <v>61</v>
      </c>
      <c r="D213" s="114">
        <v>150</v>
      </c>
      <c r="E213" s="1" t="s">
        <v>264</v>
      </c>
      <c r="F213" s="35">
        <v>501</v>
      </c>
      <c r="G213" s="35">
        <v>1000</v>
      </c>
      <c r="H213" s="127">
        <v>1000</v>
      </c>
      <c r="I213" s="138">
        <v>2.5</v>
      </c>
      <c r="J213" s="138">
        <v>2</v>
      </c>
      <c r="K213" s="136"/>
      <c r="L213" s="130">
        <f>+I213*J213</f>
        <v>5</v>
      </c>
      <c r="M213" s="28">
        <f>+L213*$M$1</f>
        <v>161</v>
      </c>
      <c r="N213" s="162">
        <f>+M213/H213</f>
        <v>0.161</v>
      </c>
      <c r="O213" s="131">
        <f t="shared" si="20"/>
        <v>161</v>
      </c>
      <c r="P213" s="130">
        <f t="shared" si="21"/>
        <v>0.25</v>
      </c>
    </row>
    <row r="214" spans="1:16" hidden="1" x14ac:dyDescent="0.25">
      <c r="A214" s="114" t="s">
        <v>269</v>
      </c>
      <c r="B214" s="114" t="s">
        <v>301</v>
      </c>
      <c r="C214" s="114">
        <v>61</v>
      </c>
      <c r="D214" s="114">
        <v>150</v>
      </c>
      <c r="E214" s="1" t="s">
        <v>266</v>
      </c>
      <c r="F214" s="35">
        <v>501</v>
      </c>
      <c r="G214" s="35">
        <v>1000</v>
      </c>
      <c r="H214" s="127">
        <v>1000</v>
      </c>
      <c r="I214" s="138">
        <v>2.5</v>
      </c>
      <c r="J214" s="138">
        <v>2.5</v>
      </c>
      <c r="K214" s="136"/>
      <c r="L214" s="130">
        <f>+I214*J214</f>
        <v>6.25</v>
      </c>
      <c r="M214" s="28">
        <f>+L214*$M$1</f>
        <v>201.25000000000003</v>
      </c>
      <c r="N214" s="162">
        <f>+M214/H214</f>
        <v>0.20125000000000004</v>
      </c>
      <c r="O214" s="131">
        <f t="shared" si="20"/>
        <v>201.25000000000003</v>
      </c>
      <c r="P214" s="130">
        <f t="shared" si="21"/>
        <v>0.3125</v>
      </c>
    </row>
    <row r="215" spans="1:16" hidden="1" x14ac:dyDescent="0.25">
      <c r="A215" s="114" t="s">
        <v>269</v>
      </c>
      <c r="B215" s="114" t="s">
        <v>271</v>
      </c>
      <c r="C215" s="114">
        <v>61</v>
      </c>
      <c r="D215" s="114">
        <v>100</v>
      </c>
      <c r="E215" s="1" t="s">
        <v>264</v>
      </c>
      <c r="F215" s="35">
        <v>501</v>
      </c>
      <c r="G215" s="35">
        <v>1000</v>
      </c>
      <c r="H215" s="127">
        <v>1000</v>
      </c>
      <c r="I215" s="138">
        <v>2.5</v>
      </c>
      <c r="J215" s="138">
        <v>2</v>
      </c>
      <c r="K215" s="136"/>
      <c r="L215" s="130">
        <f>+I215*J215</f>
        <v>5</v>
      </c>
      <c r="M215" s="28">
        <f>+L215*$M$1</f>
        <v>161</v>
      </c>
      <c r="N215" s="162">
        <f>+M215/H215</f>
        <v>0.161</v>
      </c>
      <c r="O215" s="131">
        <f t="shared" si="20"/>
        <v>161</v>
      </c>
      <c r="P215" s="130">
        <f t="shared" si="21"/>
        <v>0.25</v>
      </c>
    </row>
    <row r="216" spans="1:16" hidden="1" x14ac:dyDescent="0.25">
      <c r="A216" s="114" t="s">
        <v>269</v>
      </c>
      <c r="B216" s="114" t="s">
        <v>271</v>
      </c>
      <c r="C216" s="114">
        <v>61</v>
      </c>
      <c r="D216" s="114">
        <v>100</v>
      </c>
      <c r="E216" s="1" t="s">
        <v>266</v>
      </c>
      <c r="F216" s="35">
        <v>501</v>
      </c>
      <c r="G216" s="35">
        <v>1000</v>
      </c>
      <c r="H216" s="127">
        <v>1000</v>
      </c>
      <c r="I216" s="138">
        <v>2.5</v>
      </c>
      <c r="J216" s="138">
        <v>2.5</v>
      </c>
      <c r="K216" s="136"/>
      <c r="L216" s="130">
        <f>+I216*J216</f>
        <v>6.25</v>
      </c>
      <c r="M216" s="28">
        <f>+L216*$M$1</f>
        <v>201.25000000000003</v>
      </c>
      <c r="N216" s="162">
        <f>+M216/H216</f>
        <v>0.20125000000000004</v>
      </c>
      <c r="O216" s="131">
        <f t="shared" si="20"/>
        <v>201.25000000000003</v>
      </c>
      <c r="P216" s="130">
        <f t="shared" si="21"/>
        <v>0.3125</v>
      </c>
    </row>
    <row r="217" spans="1:16" hidden="1" x14ac:dyDescent="0.25">
      <c r="A217" s="114" t="s">
        <v>269</v>
      </c>
      <c r="B217" s="114" t="s">
        <v>301</v>
      </c>
      <c r="C217" s="114">
        <v>61</v>
      </c>
      <c r="D217" s="114">
        <v>150</v>
      </c>
      <c r="E217" s="1" t="s">
        <v>17</v>
      </c>
      <c r="F217" s="35">
        <v>501</v>
      </c>
      <c r="G217" s="35">
        <v>1000</v>
      </c>
      <c r="H217" s="127">
        <v>1000</v>
      </c>
      <c r="I217" s="138">
        <v>3.5</v>
      </c>
      <c r="J217" s="138">
        <v>1.5</v>
      </c>
      <c r="K217" s="136"/>
      <c r="L217" s="130">
        <f>+I217*J217</f>
        <v>5.25</v>
      </c>
      <c r="M217" s="28">
        <f>+L217*$M$1</f>
        <v>169.05</v>
      </c>
      <c r="N217" s="162">
        <f>+M217/H217</f>
        <v>0.16905000000000001</v>
      </c>
      <c r="O217" s="131">
        <f t="shared" si="20"/>
        <v>169.05</v>
      </c>
      <c r="P217" s="130">
        <f t="shared" si="21"/>
        <v>0.1875</v>
      </c>
    </row>
    <row r="218" spans="1:16" x14ac:dyDescent="0.25">
      <c r="A218" s="114" t="s">
        <v>270</v>
      </c>
      <c r="B218" s="114" t="s">
        <v>301</v>
      </c>
      <c r="C218" s="114">
        <v>151</v>
      </c>
      <c r="D218" s="114">
        <v>300</v>
      </c>
      <c r="E218" s="1" t="s">
        <v>17</v>
      </c>
      <c r="F218" s="35">
        <v>1001</v>
      </c>
      <c r="G218" s="35">
        <v>2500</v>
      </c>
      <c r="H218" s="127">
        <v>2500</v>
      </c>
      <c r="I218" s="138">
        <v>3.5</v>
      </c>
      <c r="J218" s="137"/>
      <c r="K218" s="138">
        <v>550</v>
      </c>
      <c r="L218" s="130">
        <f>I218*(H218/K218)</f>
        <v>15.90909090909091</v>
      </c>
      <c r="M218" s="28">
        <f>+L218*$M$1</f>
        <v>512.27272727272737</v>
      </c>
      <c r="N218" s="162">
        <f>+M218/H218</f>
        <v>0.20490909090909096</v>
      </c>
      <c r="O218" s="131">
        <f t="shared" si="20"/>
        <v>204.90909090909096</v>
      </c>
      <c r="P218" s="130">
        <f t="shared" si="21"/>
        <v>0</v>
      </c>
    </row>
    <row r="219" spans="1:16" x14ac:dyDescent="0.25">
      <c r="A219" s="114" t="s">
        <v>270</v>
      </c>
      <c r="B219" s="114" t="s">
        <v>301</v>
      </c>
      <c r="C219" s="114">
        <v>301</v>
      </c>
      <c r="D219" s="114">
        <v>500</v>
      </c>
      <c r="E219" s="1" t="s">
        <v>17</v>
      </c>
      <c r="F219" s="35">
        <v>1001</v>
      </c>
      <c r="G219" s="35">
        <v>2500</v>
      </c>
      <c r="H219" s="127">
        <v>2500</v>
      </c>
      <c r="I219" s="138">
        <v>3.5</v>
      </c>
      <c r="J219" s="137"/>
      <c r="K219" s="138">
        <v>550</v>
      </c>
      <c r="L219" s="130">
        <f>I219*(H219/K219)</f>
        <v>15.90909090909091</v>
      </c>
      <c r="M219" s="28">
        <f>+L219*$M$1</f>
        <v>512.27272727272737</v>
      </c>
      <c r="N219" s="162">
        <f>+M219/H219</f>
        <v>0.20490909090909096</v>
      </c>
      <c r="O219" s="131">
        <f t="shared" si="20"/>
        <v>204.90909090909096</v>
      </c>
      <c r="P219" s="130">
        <f t="shared" si="21"/>
        <v>0</v>
      </c>
    </row>
    <row r="220" spans="1:16" x14ac:dyDescent="0.25">
      <c r="A220" s="114" t="s">
        <v>270</v>
      </c>
      <c r="B220" s="114" t="s">
        <v>301</v>
      </c>
      <c r="C220" s="114">
        <v>501</v>
      </c>
      <c r="D220" s="114">
        <v>1000</v>
      </c>
      <c r="E220" s="1" t="s">
        <v>17</v>
      </c>
      <c r="F220" s="35">
        <v>1001</v>
      </c>
      <c r="G220" s="35">
        <v>2500</v>
      </c>
      <c r="H220" s="127">
        <v>2500</v>
      </c>
      <c r="I220" s="138">
        <v>3.5</v>
      </c>
      <c r="J220" s="137"/>
      <c r="K220" s="138">
        <v>550</v>
      </c>
      <c r="L220" s="130">
        <f>I220*(H220/K220)</f>
        <v>15.90909090909091</v>
      </c>
      <c r="M220" s="28">
        <f>+L220*$M$1</f>
        <v>512.27272727272737</v>
      </c>
      <c r="N220" s="162">
        <f>+M220/H220</f>
        <v>0.20490909090909096</v>
      </c>
      <c r="O220" s="131">
        <f t="shared" ref="O220:O224" si="22">+N220*1000</f>
        <v>204.90909090909096</v>
      </c>
      <c r="P220" s="130">
        <f t="shared" si="21"/>
        <v>0</v>
      </c>
    </row>
    <row r="221" spans="1:16" hidden="1" x14ac:dyDescent="0.25">
      <c r="A221" s="114" t="s">
        <v>269</v>
      </c>
      <c r="B221" s="114" t="s">
        <v>271</v>
      </c>
      <c r="C221" s="114">
        <v>61</v>
      </c>
      <c r="D221" s="114">
        <v>100</v>
      </c>
      <c r="E221" s="1" t="s">
        <v>277</v>
      </c>
      <c r="F221" s="35">
        <v>501</v>
      </c>
      <c r="G221" s="35">
        <v>1000</v>
      </c>
      <c r="H221" s="127">
        <v>1000</v>
      </c>
      <c r="I221" s="138">
        <v>3.5</v>
      </c>
      <c r="J221" s="138">
        <v>3</v>
      </c>
      <c r="K221" s="136"/>
      <c r="L221" s="130">
        <f>+I221*J221</f>
        <v>10.5</v>
      </c>
      <c r="M221" s="28">
        <f>+L221*$M$1</f>
        <v>338.1</v>
      </c>
      <c r="N221" s="162">
        <f>+M221/H221</f>
        <v>0.33810000000000001</v>
      </c>
      <c r="O221" s="131">
        <f t="shared" si="22"/>
        <v>338.1</v>
      </c>
      <c r="P221" s="130">
        <f t="shared" si="21"/>
        <v>0.375</v>
      </c>
    </row>
    <row r="222" spans="1:16" hidden="1" x14ac:dyDescent="0.25">
      <c r="A222" s="114" t="s">
        <v>269</v>
      </c>
      <c r="B222" s="114" t="s">
        <v>301</v>
      </c>
      <c r="C222" s="114">
        <v>61</v>
      </c>
      <c r="D222" s="114">
        <v>150</v>
      </c>
      <c r="E222" s="1" t="s">
        <v>50</v>
      </c>
      <c r="F222" s="35">
        <v>501</v>
      </c>
      <c r="G222" s="35">
        <v>1000</v>
      </c>
      <c r="H222" s="127">
        <v>1000</v>
      </c>
      <c r="I222" s="138">
        <v>4.5</v>
      </c>
      <c r="J222" s="139">
        <v>3</v>
      </c>
      <c r="K222" s="136"/>
      <c r="L222" s="130">
        <f>+I222*J222</f>
        <v>13.5</v>
      </c>
      <c r="M222" s="28">
        <f>+L222*$M$1</f>
        <v>434.70000000000005</v>
      </c>
      <c r="N222" s="162">
        <f>+M222/H222</f>
        <v>0.43470000000000003</v>
      </c>
      <c r="O222" s="131">
        <f t="shared" si="22"/>
        <v>434.70000000000005</v>
      </c>
      <c r="P222" s="130">
        <f t="shared" si="21"/>
        <v>0.375</v>
      </c>
    </row>
    <row r="223" spans="1:16" hidden="1" x14ac:dyDescent="0.25">
      <c r="A223" s="114" t="s">
        <v>269</v>
      </c>
      <c r="B223" s="114" t="s">
        <v>271</v>
      </c>
      <c r="C223" s="114">
        <v>61</v>
      </c>
      <c r="D223" s="114">
        <v>100</v>
      </c>
      <c r="E223" s="1" t="s">
        <v>50</v>
      </c>
      <c r="F223" s="35">
        <v>501</v>
      </c>
      <c r="G223" s="35">
        <v>1000</v>
      </c>
      <c r="H223" s="127">
        <v>1000</v>
      </c>
      <c r="I223" s="138">
        <v>5.5</v>
      </c>
      <c r="J223" s="139">
        <v>3.5</v>
      </c>
      <c r="K223" s="136"/>
      <c r="L223" s="130">
        <f>+I223*J223</f>
        <v>19.25</v>
      </c>
      <c r="M223" s="28">
        <f>+L223*$M$1</f>
        <v>619.85</v>
      </c>
      <c r="N223" s="162">
        <f>+M223/H223</f>
        <v>0.61985000000000001</v>
      </c>
      <c r="O223" s="131">
        <f t="shared" si="22"/>
        <v>619.85</v>
      </c>
      <c r="P223" s="130">
        <f t="shared" si="21"/>
        <v>0.4375</v>
      </c>
    </row>
    <row r="224" spans="1:16" hidden="1" x14ac:dyDescent="0.25">
      <c r="A224" s="114" t="s">
        <v>269</v>
      </c>
      <c r="B224" s="114" t="s">
        <v>271</v>
      </c>
      <c r="C224" s="114">
        <v>61</v>
      </c>
      <c r="D224" s="114">
        <v>100</v>
      </c>
      <c r="E224" s="1" t="s">
        <v>273</v>
      </c>
      <c r="F224" s="35">
        <v>501</v>
      </c>
      <c r="G224" s="35">
        <v>1000</v>
      </c>
      <c r="H224" s="127">
        <v>1000</v>
      </c>
      <c r="I224" s="138">
        <v>4.5</v>
      </c>
      <c r="J224" s="138">
        <v>3</v>
      </c>
      <c r="K224" s="136"/>
      <c r="L224" s="130">
        <f>+I224*J224</f>
        <v>13.5</v>
      </c>
      <c r="M224" s="28">
        <f>+L224*$M$1</f>
        <v>434.70000000000005</v>
      </c>
      <c r="N224" s="162">
        <f>+M224/H224</f>
        <v>0.43470000000000003</v>
      </c>
      <c r="O224" s="131">
        <f t="shared" si="22"/>
        <v>434.70000000000005</v>
      </c>
      <c r="P224" s="130">
        <f t="shared" si="21"/>
        <v>0.375</v>
      </c>
    </row>
    <row r="225" spans="1:16" hidden="1" x14ac:dyDescent="0.25">
      <c r="A225" s="114" t="s">
        <v>269</v>
      </c>
      <c r="B225" s="114" t="s">
        <v>301</v>
      </c>
      <c r="C225" s="114">
        <v>61</v>
      </c>
      <c r="D225" s="114">
        <v>150</v>
      </c>
      <c r="E225" s="1" t="s">
        <v>263</v>
      </c>
      <c r="F225" s="35">
        <v>1001</v>
      </c>
      <c r="G225" s="35">
        <v>2500</v>
      </c>
      <c r="H225" s="127">
        <v>2500</v>
      </c>
      <c r="I225" s="138">
        <v>1.5</v>
      </c>
      <c r="J225" s="137"/>
      <c r="K225" s="138">
        <v>700</v>
      </c>
      <c r="L225" s="130">
        <f>I225*(H225/K225)</f>
        <v>5.3571428571428577</v>
      </c>
      <c r="M225" s="28">
        <f>+L225*$M$1</f>
        <v>172.50000000000003</v>
      </c>
      <c r="N225" s="162">
        <f>+M225/H225</f>
        <v>6.9000000000000006E-2</v>
      </c>
      <c r="O225" s="131">
        <f t="shared" ref="O225:O244" si="23">+N225*1000</f>
        <v>69</v>
      </c>
      <c r="P225" s="130">
        <f t="shared" si="21"/>
        <v>0</v>
      </c>
    </row>
    <row r="226" spans="1:16" hidden="1" x14ac:dyDescent="0.25">
      <c r="A226" s="114" t="s">
        <v>269</v>
      </c>
      <c r="B226" s="114" t="s">
        <v>301</v>
      </c>
      <c r="C226" s="114">
        <v>61</v>
      </c>
      <c r="D226" s="114">
        <v>150</v>
      </c>
      <c r="E226" s="1" t="s">
        <v>265</v>
      </c>
      <c r="F226" s="35">
        <v>1001</v>
      </c>
      <c r="G226" s="35">
        <v>2500</v>
      </c>
      <c r="H226" s="127">
        <v>2500</v>
      </c>
      <c r="I226" s="138">
        <v>1.5</v>
      </c>
      <c r="J226" s="137"/>
      <c r="K226" s="138">
        <v>600</v>
      </c>
      <c r="L226" s="130">
        <f>I226*(H226/K226)</f>
        <v>6.25</v>
      </c>
      <c r="M226" s="28">
        <f>+L226*$M$1</f>
        <v>201.25000000000003</v>
      </c>
      <c r="N226" s="162">
        <f>+M226/H226</f>
        <v>8.0500000000000016E-2</v>
      </c>
      <c r="O226" s="131">
        <f t="shared" si="23"/>
        <v>80.500000000000014</v>
      </c>
      <c r="P226" s="130">
        <f t="shared" si="21"/>
        <v>0</v>
      </c>
    </row>
    <row r="227" spans="1:16" hidden="1" x14ac:dyDescent="0.25">
      <c r="A227" s="114" t="s">
        <v>269</v>
      </c>
      <c r="B227" s="114" t="s">
        <v>271</v>
      </c>
      <c r="C227" s="114">
        <v>61</v>
      </c>
      <c r="D227" s="114">
        <v>100</v>
      </c>
      <c r="E227" s="1" t="s">
        <v>263</v>
      </c>
      <c r="F227" s="35">
        <v>1001</v>
      </c>
      <c r="G227" s="35">
        <v>2500</v>
      </c>
      <c r="H227" s="127">
        <v>2500</v>
      </c>
      <c r="I227" s="138">
        <v>1.5</v>
      </c>
      <c r="J227" s="137"/>
      <c r="K227" s="138">
        <v>700</v>
      </c>
      <c r="L227" s="130">
        <f>I227*(H227/K227)</f>
        <v>5.3571428571428577</v>
      </c>
      <c r="M227" s="28">
        <f>+L227*$M$1</f>
        <v>172.50000000000003</v>
      </c>
      <c r="N227" s="162">
        <f>+M227/H227</f>
        <v>6.9000000000000006E-2</v>
      </c>
      <c r="O227" s="131">
        <f t="shared" si="23"/>
        <v>69</v>
      </c>
      <c r="P227" s="130">
        <f t="shared" si="21"/>
        <v>0</v>
      </c>
    </row>
    <row r="228" spans="1:16" hidden="1" x14ac:dyDescent="0.25">
      <c r="A228" s="114" t="s">
        <v>269</v>
      </c>
      <c r="B228" s="114" t="s">
        <v>271</v>
      </c>
      <c r="C228" s="114">
        <v>61</v>
      </c>
      <c r="D228" s="114">
        <v>100</v>
      </c>
      <c r="E228" s="1" t="s">
        <v>265</v>
      </c>
      <c r="F228" s="35">
        <v>1001</v>
      </c>
      <c r="G228" s="35">
        <v>2500</v>
      </c>
      <c r="H228" s="127">
        <v>2500</v>
      </c>
      <c r="I228" s="138">
        <v>1.5</v>
      </c>
      <c r="J228" s="137"/>
      <c r="K228" s="138">
        <v>600</v>
      </c>
      <c r="L228" s="130">
        <f>I228*(H228/K228)</f>
        <v>6.25</v>
      </c>
      <c r="M228" s="28">
        <f>+L228*$M$1</f>
        <v>201.25000000000003</v>
      </c>
      <c r="N228" s="162">
        <f>+M228/H228</f>
        <v>8.0500000000000016E-2</v>
      </c>
      <c r="O228" s="131">
        <f t="shared" si="23"/>
        <v>80.500000000000014</v>
      </c>
      <c r="P228" s="130">
        <f t="shared" si="21"/>
        <v>0</v>
      </c>
    </row>
    <row r="229" spans="1:16" hidden="1" x14ac:dyDescent="0.25">
      <c r="A229" s="114" t="s">
        <v>269</v>
      </c>
      <c r="B229" s="114" t="s">
        <v>301</v>
      </c>
      <c r="C229" s="114">
        <v>61</v>
      </c>
      <c r="D229" s="114">
        <v>150</v>
      </c>
      <c r="E229" s="1" t="s">
        <v>264</v>
      </c>
      <c r="F229" s="35">
        <v>1001</v>
      </c>
      <c r="G229" s="35">
        <v>2500</v>
      </c>
      <c r="H229" s="127">
        <v>2500</v>
      </c>
      <c r="I229" s="138">
        <v>2.5</v>
      </c>
      <c r="J229" s="137"/>
      <c r="K229" s="138">
        <v>700</v>
      </c>
      <c r="L229" s="130">
        <f>I229*(H229/K229)</f>
        <v>8.9285714285714288</v>
      </c>
      <c r="M229" s="28">
        <f>+L229*$M$1</f>
        <v>287.50000000000006</v>
      </c>
      <c r="N229" s="162">
        <f>+M229/H229</f>
        <v>0.11500000000000002</v>
      </c>
      <c r="O229" s="131">
        <f t="shared" si="23"/>
        <v>115.00000000000001</v>
      </c>
      <c r="P229" s="130">
        <f t="shared" si="21"/>
        <v>0</v>
      </c>
    </row>
    <row r="230" spans="1:16" hidden="1" x14ac:dyDescent="0.25">
      <c r="A230" s="114" t="s">
        <v>269</v>
      </c>
      <c r="B230" s="114" t="s">
        <v>301</v>
      </c>
      <c r="C230" s="114">
        <v>61</v>
      </c>
      <c r="D230" s="114">
        <v>150</v>
      </c>
      <c r="E230" s="1" t="s">
        <v>266</v>
      </c>
      <c r="F230" s="35">
        <v>1001</v>
      </c>
      <c r="G230" s="35">
        <v>2500</v>
      </c>
      <c r="H230" s="127">
        <v>2500</v>
      </c>
      <c r="I230" s="138">
        <v>2.5</v>
      </c>
      <c r="J230" s="137"/>
      <c r="K230" s="138">
        <v>600</v>
      </c>
      <c r="L230" s="130">
        <f>I230*(H230/K230)</f>
        <v>10.416666666666668</v>
      </c>
      <c r="M230" s="28">
        <f>+L230*$M$1</f>
        <v>335.41666666666674</v>
      </c>
      <c r="N230" s="162">
        <f>+M230/H230</f>
        <v>0.13416666666666668</v>
      </c>
      <c r="O230" s="131">
        <f t="shared" si="23"/>
        <v>134.16666666666669</v>
      </c>
      <c r="P230" s="130">
        <f t="shared" si="21"/>
        <v>0</v>
      </c>
    </row>
    <row r="231" spans="1:16" hidden="1" x14ac:dyDescent="0.25">
      <c r="A231" s="114" t="s">
        <v>269</v>
      </c>
      <c r="B231" s="114" t="s">
        <v>271</v>
      </c>
      <c r="C231" s="114">
        <v>61</v>
      </c>
      <c r="D231" s="114">
        <v>100</v>
      </c>
      <c r="E231" s="1" t="s">
        <v>264</v>
      </c>
      <c r="F231" s="35">
        <v>1001</v>
      </c>
      <c r="G231" s="35">
        <v>2500</v>
      </c>
      <c r="H231" s="127">
        <v>2500</v>
      </c>
      <c r="I231" s="138">
        <v>2.5</v>
      </c>
      <c r="J231" s="137"/>
      <c r="K231" s="138">
        <v>700</v>
      </c>
      <c r="L231" s="130">
        <f>I231*(H231/K231)</f>
        <v>8.9285714285714288</v>
      </c>
      <c r="M231" s="28">
        <f>+L231*$M$1</f>
        <v>287.50000000000006</v>
      </c>
      <c r="N231" s="162">
        <f>+M231/H231</f>
        <v>0.11500000000000002</v>
      </c>
      <c r="O231" s="131">
        <f t="shared" si="23"/>
        <v>115.00000000000001</v>
      </c>
      <c r="P231" s="130">
        <f t="shared" si="21"/>
        <v>0</v>
      </c>
    </row>
    <row r="232" spans="1:16" hidden="1" x14ac:dyDescent="0.25">
      <c r="A232" s="114" t="s">
        <v>269</v>
      </c>
      <c r="B232" s="114" t="s">
        <v>271</v>
      </c>
      <c r="C232" s="114">
        <v>61</v>
      </c>
      <c r="D232" s="114">
        <v>100</v>
      </c>
      <c r="E232" s="1" t="s">
        <v>266</v>
      </c>
      <c r="F232" s="35">
        <v>1001</v>
      </c>
      <c r="G232" s="35">
        <v>2500</v>
      </c>
      <c r="H232" s="127">
        <v>2500</v>
      </c>
      <c r="I232" s="138">
        <v>2.5</v>
      </c>
      <c r="J232" s="137"/>
      <c r="K232" s="138">
        <v>600</v>
      </c>
      <c r="L232" s="130">
        <f>I232*(H232/K232)</f>
        <v>10.416666666666668</v>
      </c>
      <c r="M232" s="28">
        <f>+L232*$M$1</f>
        <v>335.41666666666674</v>
      </c>
      <c r="N232" s="162">
        <f>+M232/H232</f>
        <v>0.13416666666666668</v>
      </c>
      <c r="O232" s="131">
        <f t="shared" si="23"/>
        <v>134.16666666666669</v>
      </c>
      <c r="P232" s="130">
        <f t="shared" si="21"/>
        <v>0</v>
      </c>
    </row>
    <row r="233" spans="1:16" hidden="1" x14ac:dyDescent="0.25">
      <c r="A233" s="114" t="s">
        <v>269</v>
      </c>
      <c r="B233" s="114" t="s">
        <v>301</v>
      </c>
      <c r="C233" s="114">
        <v>61</v>
      </c>
      <c r="D233" s="114">
        <v>150</v>
      </c>
      <c r="E233" s="1" t="s">
        <v>17</v>
      </c>
      <c r="F233" s="35">
        <v>1001</v>
      </c>
      <c r="G233" s="35">
        <v>2500</v>
      </c>
      <c r="H233" s="127">
        <v>2500</v>
      </c>
      <c r="I233" s="138">
        <v>3.5</v>
      </c>
      <c r="J233" s="137"/>
      <c r="K233" s="138">
        <v>675</v>
      </c>
      <c r="L233" s="130">
        <f>I233*(H233/K233)</f>
        <v>12.962962962962964</v>
      </c>
      <c r="M233" s="28">
        <f>+L233*$M$1</f>
        <v>417.40740740740745</v>
      </c>
      <c r="N233" s="162">
        <f>+M233/H233</f>
        <v>0.16696296296296298</v>
      </c>
      <c r="O233" s="131">
        <f t="shared" si="23"/>
        <v>166.96296296296299</v>
      </c>
      <c r="P233" s="130">
        <f t="shared" si="21"/>
        <v>0</v>
      </c>
    </row>
    <row r="234" spans="1:16" hidden="1" x14ac:dyDescent="0.25">
      <c r="A234" s="114" t="s">
        <v>269</v>
      </c>
      <c r="B234" s="114" t="s">
        <v>271</v>
      </c>
      <c r="C234" s="114">
        <v>61</v>
      </c>
      <c r="D234" s="114">
        <v>100</v>
      </c>
      <c r="E234" s="1" t="s">
        <v>277</v>
      </c>
      <c r="F234" s="35">
        <v>1001</v>
      </c>
      <c r="G234" s="35">
        <v>2500</v>
      </c>
      <c r="H234" s="127">
        <v>2500</v>
      </c>
      <c r="I234" s="138">
        <v>3.5</v>
      </c>
      <c r="J234" s="137"/>
      <c r="K234" s="138">
        <v>375</v>
      </c>
      <c r="L234" s="130">
        <f>I234*(H234/K234)</f>
        <v>23.333333333333336</v>
      </c>
      <c r="M234" s="28">
        <f>+L234*$M$1</f>
        <v>751.33333333333348</v>
      </c>
      <c r="N234" s="162">
        <f>+M234/H234</f>
        <v>0.30053333333333337</v>
      </c>
      <c r="O234" s="131">
        <f t="shared" si="23"/>
        <v>300.53333333333336</v>
      </c>
      <c r="P234" s="130">
        <f t="shared" si="21"/>
        <v>0</v>
      </c>
    </row>
    <row r="235" spans="1:16" hidden="1" x14ac:dyDescent="0.25">
      <c r="A235" s="114" t="s">
        <v>269</v>
      </c>
      <c r="B235" s="114" t="s">
        <v>301</v>
      </c>
      <c r="C235" s="114">
        <v>61</v>
      </c>
      <c r="D235" s="114">
        <v>150</v>
      </c>
      <c r="E235" s="1" t="s">
        <v>18</v>
      </c>
      <c r="F235" s="35">
        <v>0</v>
      </c>
      <c r="G235" s="35">
        <v>500</v>
      </c>
      <c r="H235" s="127">
        <v>500</v>
      </c>
      <c r="I235" s="138">
        <v>3.5</v>
      </c>
      <c r="J235" s="138">
        <v>2.5</v>
      </c>
      <c r="K235" s="136"/>
      <c r="L235">
        <f>+I235*J235</f>
        <v>8.75</v>
      </c>
      <c r="M235" s="28">
        <f>+L235*$M$1</f>
        <v>281.75</v>
      </c>
      <c r="N235" s="162">
        <f>+M235/H235</f>
        <v>0.5635</v>
      </c>
      <c r="O235" s="131">
        <f t="shared" si="23"/>
        <v>563.5</v>
      </c>
      <c r="P235" s="130">
        <f t="shared" si="21"/>
        <v>0.3125</v>
      </c>
    </row>
    <row r="236" spans="1:16" x14ac:dyDescent="0.25">
      <c r="A236" s="114" t="s">
        <v>270</v>
      </c>
      <c r="B236" s="114" t="s">
        <v>301</v>
      </c>
      <c r="C236" s="114">
        <v>151</v>
      </c>
      <c r="D236" s="114">
        <v>300</v>
      </c>
      <c r="E236" s="1" t="s">
        <v>50</v>
      </c>
      <c r="F236" s="35">
        <v>1001</v>
      </c>
      <c r="G236" s="35">
        <v>2500</v>
      </c>
      <c r="H236" s="127">
        <v>2500</v>
      </c>
      <c r="I236" s="138">
        <v>4.5</v>
      </c>
      <c r="J236" s="137"/>
      <c r="K236" s="138">
        <v>400</v>
      </c>
      <c r="L236" s="130">
        <f>I236*(H236/K236)</f>
        <v>28.125</v>
      </c>
      <c r="M236" s="28">
        <f>+L236*$M$1</f>
        <v>905.62500000000011</v>
      </c>
      <c r="N236" s="162">
        <f>+M236/H236</f>
        <v>0.36225000000000007</v>
      </c>
      <c r="O236" s="131">
        <f t="shared" si="23"/>
        <v>362.25000000000006</v>
      </c>
      <c r="P236" s="130">
        <f t="shared" si="21"/>
        <v>0</v>
      </c>
    </row>
    <row r="237" spans="1:16" hidden="1" x14ac:dyDescent="0.25">
      <c r="A237" s="114" t="s">
        <v>269</v>
      </c>
      <c r="B237" s="114" t="s">
        <v>271</v>
      </c>
      <c r="C237" s="114">
        <v>61</v>
      </c>
      <c r="D237" s="114">
        <v>100</v>
      </c>
      <c r="E237" s="1" t="s">
        <v>18</v>
      </c>
      <c r="F237" s="35">
        <v>0</v>
      </c>
      <c r="G237" s="35">
        <v>500</v>
      </c>
      <c r="H237" s="127">
        <v>500</v>
      </c>
      <c r="I237" s="138">
        <v>4.5</v>
      </c>
      <c r="J237" s="138">
        <v>2.5</v>
      </c>
      <c r="K237" s="136"/>
      <c r="L237">
        <f>+I237*J237</f>
        <v>11.25</v>
      </c>
      <c r="M237" s="28">
        <f>+L237*$M$1</f>
        <v>362.25000000000006</v>
      </c>
      <c r="N237" s="162">
        <f>+M237/H237</f>
        <v>0.72450000000000014</v>
      </c>
      <c r="O237" s="131">
        <f t="shared" si="23"/>
        <v>724.50000000000011</v>
      </c>
      <c r="P237" s="130">
        <f t="shared" si="21"/>
        <v>0.3125</v>
      </c>
    </row>
    <row r="238" spans="1:16" hidden="1" x14ac:dyDescent="0.25">
      <c r="A238" s="114" t="s">
        <v>269</v>
      </c>
      <c r="B238" s="114" t="s">
        <v>301</v>
      </c>
      <c r="C238" s="114">
        <v>61</v>
      </c>
      <c r="D238" s="114">
        <v>150</v>
      </c>
      <c r="E238" s="1" t="s">
        <v>50</v>
      </c>
      <c r="F238" s="35">
        <v>1001</v>
      </c>
      <c r="G238" s="35">
        <v>2500</v>
      </c>
      <c r="H238" s="127">
        <v>2500</v>
      </c>
      <c r="I238" s="138">
        <v>4.5</v>
      </c>
      <c r="J238" s="137"/>
      <c r="K238" s="138">
        <v>450</v>
      </c>
      <c r="L238" s="130">
        <f>I238*(H238/K238)</f>
        <v>25</v>
      </c>
      <c r="M238" s="28">
        <f>+L238*$M$1</f>
        <v>805.00000000000011</v>
      </c>
      <c r="N238" s="162">
        <f>+M238/H238</f>
        <v>0.32200000000000006</v>
      </c>
      <c r="O238" s="131">
        <f t="shared" si="23"/>
        <v>322.00000000000006</v>
      </c>
      <c r="P238" s="130">
        <f t="shared" si="21"/>
        <v>0</v>
      </c>
    </row>
    <row r="239" spans="1:16" hidden="1" x14ac:dyDescent="0.25">
      <c r="A239" s="114" t="s">
        <v>269</v>
      </c>
      <c r="B239" s="114" t="s">
        <v>301</v>
      </c>
      <c r="C239" s="114">
        <v>61</v>
      </c>
      <c r="D239" s="114">
        <v>150</v>
      </c>
      <c r="E239" s="1" t="s">
        <v>18</v>
      </c>
      <c r="F239" s="35">
        <v>501</v>
      </c>
      <c r="G239" s="35">
        <v>1000</v>
      </c>
      <c r="H239" s="127">
        <v>1000</v>
      </c>
      <c r="I239" s="138">
        <v>3.5</v>
      </c>
      <c r="J239" s="139">
        <v>3</v>
      </c>
      <c r="K239" s="136"/>
      <c r="L239">
        <f>+I239*J239</f>
        <v>10.5</v>
      </c>
      <c r="M239" s="28">
        <f>+L239*$M$1</f>
        <v>338.1</v>
      </c>
      <c r="N239" s="162">
        <f>+M239/H239</f>
        <v>0.33810000000000001</v>
      </c>
      <c r="O239" s="131">
        <f t="shared" si="23"/>
        <v>338.1</v>
      </c>
      <c r="P239" s="130">
        <f t="shared" si="21"/>
        <v>0.375</v>
      </c>
    </row>
    <row r="240" spans="1:16" hidden="1" x14ac:dyDescent="0.25">
      <c r="A240" s="114" t="s">
        <v>269</v>
      </c>
      <c r="B240" s="114" t="s">
        <v>271</v>
      </c>
      <c r="C240" s="114">
        <v>61</v>
      </c>
      <c r="D240" s="114">
        <v>100</v>
      </c>
      <c r="E240" s="1" t="s">
        <v>50</v>
      </c>
      <c r="F240" s="35">
        <v>1001</v>
      </c>
      <c r="G240" s="35">
        <v>2500</v>
      </c>
      <c r="H240" s="127">
        <v>2500</v>
      </c>
      <c r="I240" s="138">
        <v>5.5</v>
      </c>
      <c r="J240" s="137"/>
      <c r="K240" s="138">
        <v>300</v>
      </c>
      <c r="L240" s="130">
        <f>I240*(H240/K240)</f>
        <v>45.833333333333336</v>
      </c>
      <c r="M240" s="28">
        <f>+L240*$M$1</f>
        <v>1475.8333333333335</v>
      </c>
      <c r="N240" s="162">
        <f>+M240/H240</f>
        <v>0.59033333333333338</v>
      </c>
      <c r="O240" s="131">
        <f t="shared" si="23"/>
        <v>590.33333333333337</v>
      </c>
      <c r="P240" s="130">
        <f t="shared" si="21"/>
        <v>0</v>
      </c>
    </row>
    <row r="241" spans="1:16" hidden="1" x14ac:dyDescent="0.25">
      <c r="A241" s="114" t="s">
        <v>269</v>
      </c>
      <c r="B241" s="114" t="s">
        <v>271</v>
      </c>
      <c r="C241" s="114">
        <v>61</v>
      </c>
      <c r="D241" s="114">
        <v>100</v>
      </c>
      <c r="E241" s="1" t="s">
        <v>18</v>
      </c>
      <c r="F241" s="35">
        <v>501</v>
      </c>
      <c r="G241" s="35">
        <v>1000</v>
      </c>
      <c r="H241" s="127">
        <v>1000</v>
      </c>
      <c r="I241" s="138">
        <v>4.5</v>
      </c>
      <c r="J241" s="139">
        <v>3.5</v>
      </c>
      <c r="K241" s="136"/>
      <c r="L241">
        <f>+I241*J241</f>
        <v>15.75</v>
      </c>
      <c r="M241" s="28">
        <f>+L241*$M$1</f>
        <v>507.15000000000003</v>
      </c>
      <c r="N241" s="162">
        <f>+M241/H241</f>
        <v>0.50714999999999999</v>
      </c>
      <c r="O241" s="131">
        <f t="shared" si="23"/>
        <v>507.15</v>
      </c>
      <c r="P241" s="130">
        <f t="shared" si="21"/>
        <v>0.4375</v>
      </c>
    </row>
    <row r="242" spans="1:16" hidden="1" x14ac:dyDescent="0.25">
      <c r="A242" s="114" t="s">
        <v>269</v>
      </c>
      <c r="B242" s="114" t="s">
        <v>271</v>
      </c>
      <c r="C242" s="114">
        <v>61</v>
      </c>
      <c r="D242" s="114">
        <v>100</v>
      </c>
      <c r="E242" s="1" t="s">
        <v>273</v>
      </c>
      <c r="F242" s="35">
        <v>1001</v>
      </c>
      <c r="G242" s="35">
        <v>2500</v>
      </c>
      <c r="H242" s="127">
        <v>2500</v>
      </c>
      <c r="I242" s="138">
        <v>4.5</v>
      </c>
      <c r="J242" s="137"/>
      <c r="K242" s="138">
        <v>375</v>
      </c>
      <c r="L242" s="130">
        <f>I242*(H242/K242)</f>
        <v>30</v>
      </c>
      <c r="M242" s="28">
        <f>+L242*$M$1</f>
        <v>966.00000000000011</v>
      </c>
      <c r="N242" s="162">
        <f>+M242/H242</f>
        <v>0.38640000000000002</v>
      </c>
      <c r="O242" s="131">
        <f t="shared" si="23"/>
        <v>386.40000000000003</v>
      </c>
      <c r="P242" s="130">
        <f t="shared" si="21"/>
        <v>0</v>
      </c>
    </row>
    <row r="243" spans="1:16" hidden="1" x14ac:dyDescent="0.25">
      <c r="A243" s="114" t="s">
        <v>269</v>
      </c>
      <c r="B243" s="114" t="s">
        <v>301</v>
      </c>
      <c r="C243" s="114">
        <v>61</v>
      </c>
      <c r="D243" s="114">
        <v>150</v>
      </c>
      <c r="E243" s="1" t="s">
        <v>18</v>
      </c>
      <c r="F243" s="35">
        <v>1001</v>
      </c>
      <c r="G243" s="35">
        <v>2500</v>
      </c>
      <c r="H243" s="127">
        <v>2500</v>
      </c>
      <c r="I243" s="138">
        <v>3.5</v>
      </c>
      <c r="J243" s="137"/>
      <c r="K243" s="138">
        <v>450</v>
      </c>
      <c r="L243" s="130">
        <f>I243*(H243/K243)</f>
        <v>19.444444444444443</v>
      </c>
      <c r="M243" s="28">
        <f>+L243*$M$1</f>
        <v>626.11111111111109</v>
      </c>
      <c r="N243" s="162">
        <f>+M243/H243</f>
        <v>0.25044444444444441</v>
      </c>
      <c r="O243" s="131">
        <f t="shared" si="23"/>
        <v>250.4444444444444</v>
      </c>
      <c r="P243" s="130">
        <f t="shared" si="21"/>
        <v>0</v>
      </c>
    </row>
    <row r="244" spans="1:16" x14ac:dyDescent="0.25">
      <c r="A244" s="114" t="s">
        <v>270</v>
      </c>
      <c r="B244" s="114" t="s">
        <v>301</v>
      </c>
      <c r="C244" s="114">
        <v>301</v>
      </c>
      <c r="D244" s="114">
        <v>500</v>
      </c>
      <c r="E244" s="1" t="s">
        <v>50</v>
      </c>
      <c r="F244" s="35">
        <v>1001</v>
      </c>
      <c r="G244" s="35">
        <v>2500</v>
      </c>
      <c r="H244" s="127">
        <v>2500</v>
      </c>
      <c r="I244" s="138">
        <v>4.5</v>
      </c>
      <c r="J244" s="137"/>
      <c r="K244" s="138">
        <v>400</v>
      </c>
      <c r="L244" s="130">
        <f>I244*(H244/K244)</f>
        <v>28.125</v>
      </c>
      <c r="M244" s="28">
        <f>+L244*$M$1</f>
        <v>905.62500000000011</v>
      </c>
      <c r="N244" s="162">
        <f>+M244/H244</f>
        <v>0.36225000000000007</v>
      </c>
      <c r="O244" s="131">
        <f t="shared" si="23"/>
        <v>362.25000000000006</v>
      </c>
      <c r="P244" s="130">
        <f t="shared" si="21"/>
        <v>0</v>
      </c>
    </row>
    <row r="245" spans="1:16" hidden="1" x14ac:dyDescent="0.25">
      <c r="A245" s="114" t="s">
        <v>269</v>
      </c>
      <c r="B245" s="114" t="s">
        <v>271</v>
      </c>
      <c r="C245" s="114">
        <v>61</v>
      </c>
      <c r="D245" s="114">
        <v>100</v>
      </c>
      <c r="E245" s="1" t="s">
        <v>18</v>
      </c>
      <c r="F245" s="35">
        <v>1001</v>
      </c>
      <c r="G245" s="35">
        <v>2500</v>
      </c>
      <c r="H245" s="127">
        <v>2500</v>
      </c>
      <c r="I245" s="138">
        <v>4.5</v>
      </c>
      <c r="J245" s="137"/>
      <c r="K245" s="138">
        <v>300</v>
      </c>
      <c r="L245" s="130">
        <f>I245*(H245/K245)</f>
        <v>37.5</v>
      </c>
      <c r="M245" s="28">
        <f>+L245*$M$1</f>
        <v>1207.5</v>
      </c>
      <c r="N245" s="162">
        <f>+M245/H245</f>
        <v>0.48299999999999998</v>
      </c>
      <c r="O245" s="131">
        <f t="shared" ref="O245:O249" si="24">+N245*1000</f>
        <v>483</v>
      </c>
      <c r="P245" s="130">
        <f t="shared" si="21"/>
        <v>0</v>
      </c>
    </row>
    <row r="246" spans="1:16" hidden="1" x14ac:dyDescent="0.25">
      <c r="A246" s="114" t="s">
        <v>269</v>
      </c>
      <c r="B246" s="114" t="s">
        <v>301</v>
      </c>
      <c r="C246" s="114">
        <v>61</v>
      </c>
      <c r="D246" s="114">
        <v>150</v>
      </c>
      <c r="E246" s="1" t="s">
        <v>18</v>
      </c>
      <c r="F246" s="35">
        <v>2501</v>
      </c>
      <c r="G246" s="35">
        <v>5000</v>
      </c>
      <c r="H246" s="127">
        <v>5000</v>
      </c>
      <c r="I246" s="138">
        <v>3.5</v>
      </c>
      <c r="J246" s="137"/>
      <c r="K246" s="138">
        <v>550</v>
      </c>
      <c r="L246" s="130">
        <f>I246*(H246/K246)</f>
        <v>31.81818181818182</v>
      </c>
      <c r="M246" s="28">
        <f>+L246*$M$1</f>
        <v>1024.5454545454547</v>
      </c>
      <c r="N246" s="162">
        <f>+M246/H246</f>
        <v>0.20490909090909096</v>
      </c>
      <c r="O246" s="131">
        <f t="shared" si="24"/>
        <v>204.90909090909096</v>
      </c>
      <c r="P246" s="130">
        <f t="shared" si="21"/>
        <v>0</v>
      </c>
    </row>
    <row r="247" spans="1:16" hidden="1" x14ac:dyDescent="0.25">
      <c r="A247" s="114" t="s">
        <v>269</v>
      </c>
      <c r="B247" s="114" t="s">
        <v>271</v>
      </c>
      <c r="C247" s="114">
        <v>61</v>
      </c>
      <c r="D247" s="114">
        <v>100</v>
      </c>
      <c r="E247" s="1" t="s">
        <v>18</v>
      </c>
      <c r="F247" s="35">
        <v>2501</v>
      </c>
      <c r="G247" s="35">
        <v>5000</v>
      </c>
      <c r="H247" s="127">
        <v>5000</v>
      </c>
      <c r="I247" s="138">
        <v>4.5</v>
      </c>
      <c r="J247" s="137"/>
      <c r="K247" s="138">
        <v>325</v>
      </c>
      <c r="L247" s="130">
        <f>I247*(H247/K247)</f>
        <v>69.230769230769226</v>
      </c>
      <c r="M247" s="28">
        <f>+L247*$M$1</f>
        <v>2229.2307692307695</v>
      </c>
      <c r="N247" s="162">
        <f>+M247/H247</f>
        <v>0.44584615384615389</v>
      </c>
      <c r="O247" s="131">
        <f t="shared" si="24"/>
        <v>445.84615384615387</v>
      </c>
      <c r="P247" s="130">
        <f t="shared" si="21"/>
        <v>0</v>
      </c>
    </row>
    <row r="248" spans="1:16" x14ac:dyDescent="0.25">
      <c r="A248" s="114" t="s">
        <v>270</v>
      </c>
      <c r="B248" s="114" t="s">
        <v>301</v>
      </c>
      <c r="C248" s="114">
        <v>501</v>
      </c>
      <c r="D248" s="114">
        <v>1000</v>
      </c>
      <c r="E248" s="1" t="s">
        <v>50</v>
      </c>
      <c r="F248" s="35">
        <v>1001</v>
      </c>
      <c r="G248" s="35">
        <v>2500</v>
      </c>
      <c r="H248" s="127">
        <v>2500</v>
      </c>
      <c r="I248" s="138">
        <v>4.5</v>
      </c>
      <c r="J248" s="137"/>
      <c r="K248" s="138">
        <v>400</v>
      </c>
      <c r="L248" s="130">
        <f>I248*(H248/K248)</f>
        <v>28.125</v>
      </c>
      <c r="M248" s="28">
        <f>+L248*$M$1</f>
        <v>905.62500000000011</v>
      </c>
      <c r="N248" s="162">
        <f>+M248/H248</f>
        <v>0.36225000000000007</v>
      </c>
      <c r="O248" s="131">
        <f t="shared" si="24"/>
        <v>362.25000000000006</v>
      </c>
      <c r="P248" s="130">
        <f t="shared" si="21"/>
        <v>0</v>
      </c>
    </row>
    <row r="249" spans="1:16" hidden="1" x14ac:dyDescent="0.25">
      <c r="A249" s="114" t="s">
        <v>269</v>
      </c>
      <c r="B249" s="114" t="s">
        <v>271</v>
      </c>
      <c r="C249" s="114">
        <v>61</v>
      </c>
      <c r="D249" s="114">
        <v>100</v>
      </c>
      <c r="E249" s="1" t="s">
        <v>18</v>
      </c>
      <c r="F249" s="35">
        <v>5001</v>
      </c>
      <c r="G249" s="35">
        <v>10000</v>
      </c>
      <c r="H249" s="127">
        <v>10000</v>
      </c>
      <c r="I249" s="138">
        <v>4.5</v>
      </c>
      <c r="J249" s="137"/>
      <c r="K249" s="138">
        <v>350</v>
      </c>
      <c r="L249" s="130">
        <f>I249*(H249/K249)</f>
        <v>128.57142857142858</v>
      </c>
      <c r="M249" s="28">
        <f>+L249*$M$1</f>
        <v>4140.0000000000009</v>
      </c>
      <c r="N249" s="162">
        <f>+M249/H249</f>
        <v>0.41400000000000009</v>
      </c>
      <c r="O249" s="131">
        <f t="shared" si="24"/>
        <v>414.00000000000011</v>
      </c>
      <c r="P249" s="130">
        <f t="shared" si="21"/>
        <v>0</v>
      </c>
    </row>
    <row r="250" spans="1:16" hidden="1" x14ac:dyDescent="0.25">
      <c r="A250" s="114" t="s">
        <v>269</v>
      </c>
      <c r="B250" s="114" t="s">
        <v>301</v>
      </c>
      <c r="C250" s="114">
        <v>61</v>
      </c>
      <c r="D250" s="114">
        <v>150</v>
      </c>
      <c r="E250" s="1" t="s">
        <v>18</v>
      </c>
      <c r="F250" s="35">
        <v>5001</v>
      </c>
      <c r="G250" s="35">
        <v>25000</v>
      </c>
      <c r="H250" s="127">
        <v>25000</v>
      </c>
      <c r="I250" s="138">
        <v>3.5</v>
      </c>
      <c r="J250" s="137"/>
      <c r="K250" s="138">
        <v>650</v>
      </c>
      <c r="L250" s="130">
        <f>I250*(H250/K250)</f>
        <v>134.61538461538461</v>
      </c>
      <c r="M250" s="28">
        <f>+L250*$M$1</f>
        <v>4334.6153846153848</v>
      </c>
      <c r="N250" s="162">
        <f>+M250/H250</f>
        <v>0.17338461538461539</v>
      </c>
      <c r="O250" s="131">
        <f t="shared" ref="O250:O269" si="25">+N250*1000</f>
        <v>173.38461538461539</v>
      </c>
      <c r="P250" s="130">
        <f t="shared" si="21"/>
        <v>0</v>
      </c>
    </row>
    <row r="251" spans="1:16" hidden="1" x14ac:dyDescent="0.25">
      <c r="A251" s="114" t="s">
        <v>269</v>
      </c>
      <c r="B251" s="114" t="s">
        <v>301</v>
      </c>
      <c r="C251" s="114">
        <v>61</v>
      </c>
      <c r="D251" s="114">
        <v>150</v>
      </c>
      <c r="E251" s="1" t="s">
        <v>263</v>
      </c>
      <c r="F251" s="35">
        <v>2501</v>
      </c>
      <c r="G251" s="35">
        <v>5000</v>
      </c>
      <c r="H251" s="127">
        <v>5000</v>
      </c>
      <c r="I251" s="138">
        <v>1.5</v>
      </c>
      <c r="J251" s="137"/>
      <c r="K251" s="138">
        <v>800</v>
      </c>
      <c r="L251" s="130">
        <f>I251*(H251/K251)</f>
        <v>9.375</v>
      </c>
      <c r="M251" s="28">
        <f>+L251*$M$1</f>
        <v>301.875</v>
      </c>
      <c r="N251" s="162">
        <f>+M251/H251</f>
        <v>6.0374999999999998E-2</v>
      </c>
      <c r="O251" s="131">
        <f t="shared" si="25"/>
        <v>60.375</v>
      </c>
      <c r="P251" s="130">
        <f t="shared" si="21"/>
        <v>0</v>
      </c>
    </row>
    <row r="252" spans="1:16" hidden="1" x14ac:dyDescent="0.25">
      <c r="A252" s="114" t="s">
        <v>269</v>
      </c>
      <c r="B252" s="114" t="s">
        <v>301</v>
      </c>
      <c r="C252" s="114">
        <v>61</v>
      </c>
      <c r="D252" s="114">
        <v>150</v>
      </c>
      <c r="E252" s="1" t="s">
        <v>265</v>
      </c>
      <c r="F252" s="35">
        <v>2501</v>
      </c>
      <c r="G252" s="35">
        <v>5000</v>
      </c>
      <c r="H252" s="127">
        <v>5000</v>
      </c>
      <c r="I252" s="138">
        <v>1.5</v>
      </c>
      <c r="J252" s="137"/>
      <c r="K252" s="138">
        <v>700</v>
      </c>
      <c r="L252" s="130">
        <f>I252*(H252/K252)</f>
        <v>10.714285714285715</v>
      </c>
      <c r="M252" s="28">
        <f>+L252*$M$1</f>
        <v>345.00000000000006</v>
      </c>
      <c r="N252" s="162">
        <f>+M252/H252</f>
        <v>6.9000000000000006E-2</v>
      </c>
      <c r="O252" s="131">
        <f t="shared" si="25"/>
        <v>69</v>
      </c>
      <c r="P252" s="130">
        <f t="shared" si="21"/>
        <v>0</v>
      </c>
    </row>
    <row r="253" spans="1:16" hidden="1" x14ac:dyDescent="0.25">
      <c r="A253" s="114" t="s">
        <v>269</v>
      </c>
      <c r="B253" s="114" t="s">
        <v>271</v>
      </c>
      <c r="C253" s="114">
        <v>61</v>
      </c>
      <c r="D253" s="114">
        <v>100</v>
      </c>
      <c r="E253" s="1" t="s">
        <v>263</v>
      </c>
      <c r="F253" s="35">
        <v>2501</v>
      </c>
      <c r="G253" s="35">
        <v>5000</v>
      </c>
      <c r="H253" s="127">
        <v>5000</v>
      </c>
      <c r="I253" s="138">
        <v>1.5</v>
      </c>
      <c r="J253" s="137"/>
      <c r="K253" s="138">
        <v>800</v>
      </c>
      <c r="L253" s="130">
        <f>I253*(H253/K253)</f>
        <v>9.375</v>
      </c>
      <c r="M253" s="28">
        <f>+L253*$M$1</f>
        <v>301.875</v>
      </c>
      <c r="N253" s="162">
        <f>+M253/H253</f>
        <v>6.0374999999999998E-2</v>
      </c>
      <c r="O253" s="131">
        <f t="shared" si="25"/>
        <v>60.375</v>
      </c>
      <c r="P253" s="130">
        <f t="shared" si="21"/>
        <v>0</v>
      </c>
    </row>
    <row r="254" spans="1:16" hidden="1" x14ac:dyDescent="0.25">
      <c r="A254" s="114" t="s">
        <v>269</v>
      </c>
      <c r="B254" s="114" t="s">
        <v>271</v>
      </c>
      <c r="C254" s="114">
        <v>61</v>
      </c>
      <c r="D254" s="114">
        <v>100</v>
      </c>
      <c r="E254" s="1" t="s">
        <v>265</v>
      </c>
      <c r="F254" s="35">
        <v>2501</v>
      </c>
      <c r="G254" s="35">
        <v>5000</v>
      </c>
      <c r="H254" s="127">
        <v>5000</v>
      </c>
      <c r="I254" s="138">
        <v>1.5</v>
      </c>
      <c r="J254" s="137"/>
      <c r="K254" s="138">
        <v>700</v>
      </c>
      <c r="L254" s="130">
        <f>I254*(H254/K254)</f>
        <v>10.714285714285715</v>
      </c>
      <c r="M254" s="28">
        <f>+L254*$M$1</f>
        <v>345.00000000000006</v>
      </c>
      <c r="N254" s="162">
        <f>+M254/H254</f>
        <v>6.9000000000000006E-2</v>
      </c>
      <c r="O254" s="131">
        <f t="shared" si="25"/>
        <v>69</v>
      </c>
      <c r="P254" s="130">
        <f t="shared" si="21"/>
        <v>0</v>
      </c>
    </row>
    <row r="255" spans="1:16" hidden="1" x14ac:dyDescent="0.25">
      <c r="A255" s="114" t="s">
        <v>269</v>
      </c>
      <c r="B255" s="114" t="s">
        <v>301</v>
      </c>
      <c r="C255" s="114">
        <v>61</v>
      </c>
      <c r="D255" s="114">
        <v>150</v>
      </c>
      <c r="E255" s="1" t="s">
        <v>264</v>
      </c>
      <c r="F255" s="35">
        <v>2501</v>
      </c>
      <c r="G255" s="35">
        <v>5000</v>
      </c>
      <c r="H255" s="127">
        <v>5000</v>
      </c>
      <c r="I255" s="138">
        <v>2.5</v>
      </c>
      <c r="J255" s="137"/>
      <c r="K255" s="138">
        <v>800</v>
      </c>
      <c r="L255" s="130">
        <f>I255*(H255/K255)</f>
        <v>15.625</v>
      </c>
      <c r="M255" s="28">
        <f>+L255*$M$1</f>
        <v>503.12500000000006</v>
      </c>
      <c r="N255" s="162">
        <f>+M255/H255</f>
        <v>0.10062500000000001</v>
      </c>
      <c r="O255" s="131">
        <f t="shared" si="25"/>
        <v>100.625</v>
      </c>
      <c r="P255" s="130">
        <f t="shared" si="21"/>
        <v>0</v>
      </c>
    </row>
    <row r="256" spans="1:16" hidden="1" x14ac:dyDescent="0.25">
      <c r="A256" s="114" t="s">
        <v>269</v>
      </c>
      <c r="B256" s="114" t="s">
        <v>301</v>
      </c>
      <c r="C256" s="114">
        <v>61</v>
      </c>
      <c r="D256" s="114">
        <v>150</v>
      </c>
      <c r="E256" s="1" t="s">
        <v>266</v>
      </c>
      <c r="F256" s="35">
        <v>2501</v>
      </c>
      <c r="G256" s="35">
        <v>5000</v>
      </c>
      <c r="H256" s="127">
        <v>5000</v>
      </c>
      <c r="I256" s="138">
        <v>2.5</v>
      </c>
      <c r="J256" s="137"/>
      <c r="K256" s="138">
        <v>700</v>
      </c>
      <c r="L256" s="130">
        <f>I256*(H256/K256)</f>
        <v>17.857142857142858</v>
      </c>
      <c r="M256" s="28">
        <f>+L256*$M$1</f>
        <v>575.00000000000011</v>
      </c>
      <c r="N256" s="162">
        <f>+M256/H256</f>
        <v>0.11500000000000002</v>
      </c>
      <c r="O256" s="131">
        <f t="shared" si="25"/>
        <v>115.00000000000001</v>
      </c>
      <c r="P256" s="130">
        <f t="shared" si="21"/>
        <v>0</v>
      </c>
    </row>
    <row r="257" spans="1:16" hidden="1" x14ac:dyDescent="0.25">
      <c r="A257" s="114" t="s">
        <v>269</v>
      </c>
      <c r="B257" s="114" t="s">
        <v>271</v>
      </c>
      <c r="C257" s="114">
        <v>61</v>
      </c>
      <c r="D257" s="114">
        <v>100</v>
      </c>
      <c r="E257" s="1" t="s">
        <v>264</v>
      </c>
      <c r="F257" s="35">
        <v>2501</v>
      </c>
      <c r="G257" s="35">
        <v>5000</v>
      </c>
      <c r="H257" s="127">
        <v>5000</v>
      </c>
      <c r="I257" s="138">
        <v>2.5</v>
      </c>
      <c r="J257" s="137"/>
      <c r="K257" s="138">
        <v>800</v>
      </c>
      <c r="L257" s="130">
        <f>I257*(H257/K257)</f>
        <v>15.625</v>
      </c>
      <c r="M257" s="28">
        <f>+L257*$M$1</f>
        <v>503.12500000000006</v>
      </c>
      <c r="N257" s="162">
        <f>+M257/H257</f>
        <v>0.10062500000000001</v>
      </c>
      <c r="O257" s="131">
        <f t="shared" si="25"/>
        <v>100.625</v>
      </c>
      <c r="P257" s="130">
        <f t="shared" si="21"/>
        <v>0</v>
      </c>
    </row>
    <row r="258" spans="1:16" hidden="1" x14ac:dyDescent="0.25">
      <c r="A258" s="114" t="s">
        <v>269</v>
      </c>
      <c r="B258" s="114" t="s">
        <v>271</v>
      </c>
      <c r="C258" s="114">
        <v>61</v>
      </c>
      <c r="D258" s="114">
        <v>100</v>
      </c>
      <c r="E258" s="1" t="s">
        <v>266</v>
      </c>
      <c r="F258" s="35">
        <v>2501</v>
      </c>
      <c r="G258" s="35">
        <v>5000</v>
      </c>
      <c r="H258" s="127">
        <v>5000</v>
      </c>
      <c r="I258" s="138">
        <v>2.5</v>
      </c>
      <c r="J258" s="137"/>
      <c r="K258" s="138">
        <v>700</v>
      </c>
      <c r="L258" s="130">
        <f>I258*(H258/K258)</f>
        <v>17.857142857142858</v>
      </c>
      <c r="M258" s="28">
        <f>+L258*$M$1</f>
        <v>575.00000000000011</v>
      </c>
      <c r="N258" s="162">
        <f>+M258/H258</f>
        <v>0.11500000000000002</v>
      </c>
      <c r="O258" s="131">
        <f t="shared" si="25"/>
        <v>115.00000000000001</v>
      </c>
      <c r="P258" s="130">
        <f t="shared" si="21"/>
        <v>0</v>
      </c>
    </row>
    <row r="259" spans="1:16" hidden="1" x14ac:dyDescent="0.25">
      <c r="A259" s="114" t="s">
        <v>269</v>
      </c>
      <c r="B259" s="114" t="s">
        <v>271</v>
      </c>
      <c r="C259" s="114">
        <v>61</v>
      </c>
      <c r="D259" s="114">
        <v>100</v>
      </c>
      <c r="E259" s="1" t="s">
        <v>18</v>
      </c>
      <c r="F259" s="35">
        <v>10001</v>
      </c>
      <c r="G259" s="35">
        <v>999999</v>
      </c>
      <c r="H259" s="127">
        <v>25000</v>
      </c>
      <c r="I259" s="138">
        <v>5.5</v>
      </c>
      <c r="J259" s="137"/>
      <c r="K259" s="138">
        <v>1100</v>
      </c>
      <c r="L259" s="130">
        <f>I259*(H259/K259)</f>
        <v>125</v>
      </c>
      <c r="M259" s="28">
        <f>+L259*$M$1</f>
        <v>4025.0000000000005</v>
      </c>
      <c r="N259" s="162">
        <f>+M259/H259</f>
        <v>0.16100000000000003</v>
      </c>
      <c r="O259" s="131">
        <f t="shared" si="25"/>
        <v>161.00000000000003</v>
      </c>
      <c r="P259" s="130">
        <f t="shared" si="21"/>
        <v>0</v>
      </c>
    </row>
    <row r="260" spans="1:16" hidden="1" x14ac:dyDescent="0.25">
      <c r="A260" s="114" t="s">
        <v>269</v>
      </c>
      <c r="B260" s="114" t="s">
        <v>301</v>
      </c>
      <c r="C260" s="114">
        <v>61</v>
      </c>
      <c r="D260" s="114">
        <v>150</v>
      </c>
      <c r="E260" s="1" t="s">
        <v>17</v>
      </c>
      <c r="F260" s="35">
        <v>2501</v>
      </c>
      <c r="G260" s="35">
        <v>5000</v>
      </c>
      <c r="H260" s="127">
        <v>5000</v>
      </c>
      <c r="I260" s="138">
        <v>3.5</v>
      </c>
      <c r="J260" s="137"/>
      <c r="K260" s="138">
        <v>725</v>
      </c>
      <c r="L260" s="130">
        <f>I260*(H260/K260)</f>
        <v>24.137931034482758</v>
      </c>
      <c r="M260" s="28">
        <f>+L260*$M$1</f>
        <v>777.24137931034488</v>
      </c>
      <c r="N260" s="162">
        <f>+M260/H260</f>
        <v>0.15544827586206897</v>
      </c>
      <c r="O260" s="131">
        <f t="shared" si="25"/>
        <v>155.44827586206898</v>
      </c>
      <c r="P260" s="130">
        <f t="shared" si="21"/>
        <v>0</v>
      </c>
    </row>
    <row r="261" spans="1:16" x14ac:dyDescent="0.25">
      <c r="A261" s="114" t="s">
        <v>270</v>
      </c>
      <c r="B261" s="114" t="s">
        <v>301</v>
      </c>
      <c r="C261" s="114">
        <v>151</v>
      </c>
      <c r="D261" s="114">
        <v>300</v>
      </c>
      <c r="E261" s="1" t="s">
        <v>263</v>
      </c>
      <c r="F261" s="35">
        <v>2501</v>
      </c>
      <c r="G261" s="35">
        <v>5000</v>
      </c>
      <c r="H261" s="127">
        <v>5000</v>
      </c>
      <c r="I261" s="138">
        <v>1.5</v>
      </c>
      <c r="J261" s="137"/>
      <c r="K261" s="138">
        <v>750</v>
      </c>
      <c r="L261" s="130">
        <f>I261*(H261/K261)</f>
        <v>10</v>
      </c>
      <c r="M261" s="28">
        <f>+L261*$M$1</f>
        <v>322</v>
      </c>
      <c r="N261" s="162">
        <f>+M261/H261</f>
        <v>6.4399999999999999E-2</v>
      </c>
      <c r="O261" s="131">
        <f t="shared" si="25"/>
        <v>64.400000000000006</v>
      </c>
      <c r="P261" s="130">
        <f t="shared" si="21"/>
        <v>0</v>
      </c>
    </row>
    <row r="262" spans="1:16" x14ac:dyDescent="0.25">
      <c r="A262" s="114" t="s">
        <v>270</v>
      </c>
      <c r="B262" s="114" t="s">
        <v>301</v>
      </c>
      <c r="C262" s="114">
        <v>301</v>
      </c>
      <c r="D262" s="114">
        <v>500</v>
      </c>
      <c r="E262" s="1" t="s">
        <v>263</v>
      </c>
      <c r="F262" s="35">
        <v>2501</v>
      </c>
      <c r="G262" s="35">
        <v>5000</v>
      </c>
      <c r="H262" s="127">
        <v>5000</v>
      </c>
      <c r="I262" s="138">
        <v>1.5</v>
      </c>
      <c r="J262" s="137"/>
      <c r="K262" s="138">
        <v>750</v>
      </c>
      <c r="L262" s="130">
        <f>I262*(H262/K262)</f>
        <v>10</v>
      </c>
      <c r="M262" s="28">
        <f>+L262*$M$1</f>
        <v>322</v>
      </c>
      <c r="N262" s="162">
        <f>+M262/H262</f>
        <v>6.4399999999999999E-2</v>
      </c>
      <c r="O262" s="131">
        <f t="shared" si="25"/>
        <v>64.400000000000006</v>
      </c>
      <c r="P262" s="130">
        <f t="shared" si="21"/>
        <v>0</v>
      </c>
    </row>
    <row r="263" spans="1:16" x14ac:dyDescent="0.25">
      <c r="A263" s="114" t="s">
        <v>270</v>
      </c>
      <c r="B263" s="114" t="s">
        <v>301</v>
      </c>
      <c r="C263" s="114">
        <v>501</v>
      </c>
      <c r="D263" s="114">
        <v>1000</v>
      </c>
      <c r="E263" s="1" t="s">
        <v>263</v>
      </c>
      <c r="F263" s="35">
        <v>2501</v>
      </c>
      <c r="G263" s="35">
        <v>5000</v>
      </c>
      <c r="H263" s="127">
        <v>5000</v>
      </c>
      <c r="I263" s="138">
        <v>1.5</v>
      </c>
      <c r="J263" s="137"/>
      <c r="K263" s="138">
        <v>750</v>
      </c>
      <c r="L263" s="130">
        <f>I263*(H263/K263)</f>
        <v>10</v>
      </c>
      <c r="M263" s="28">
        <f>+L263*$M$1</f>
        <v>322</v>
      </c>
      <c r="N263" s="162">
        <f>+M263/H263</f>
        <v>6.4399999999999999E-2</v>
      </c>
      <c r="O263" s="131">
        <f t="shared" si="25"/>
        <v>64.400000000000006</v>
      </c>
      <c r="P263" s="130">
        <f t="shared" si="21"/>
        <v>0</v>
      </c>
    </row>
    <row r="264" spans="1:16" hidden="1" x14ac:dyDescent="0.25">
      <c r="A264" s="114" t="s">
        <v>269</v>
      </c>
      <c r="B264" s="114" t="s">
        <v>271</v>
      </c>
      <c r="C264" s="114">
        <v>61</v>
      </c>
      <c r="D264" s="114">
        <v>100</v>
      </c>
      <c r="E264" s="1" t="s">
        <v>277</v>
      </c>
      <c r="F264" s="35">
        <v>2501</v>
      </c>
      <c r="G264" s="35">
        <v>5000</v>
      </c>
      <c r="H264" s="127">
        <v>5000</v>
      </c>
      <c r="I264" s="138">
        <v>3.5</v>
      </c>
      <c r="J264" s="137"/>
      <c r="K264" s="138">
        <v>400</v>
      </c>
      <c r="L264" s="130">
        <f>I264*(H264/K264)</f>
        <v>43.75</v>
      </c>
      <c r="M264" s="28">
        <f>+L264*$M$1</f>
        <v>1408.7500000000002</v>
      </c>
      <c r="N264" s="162">
        <f>+M264/H264</f>
        <v>0.28175000000000006</v>
      </c>
      <c r="O264" s="131">
        <f t="shared" si="25"/>
        <v>281.75000000000006</v>
      </c>
      <c r="P264" s="130">
        <f t="shared" si="21"/>
        <v>0</v>
      </c>
    </row>
    <row r="265" spans="1:16" hidden="1" x14ac:dyDescent="0.25">
      <c r="A265" s="114" t="s">
        <v>269</v>
      </c>
      <c r="B265" s="114" t="s">
        <v>301</v>
      </c>
      <c r="C265" s="114">
        <v>61</v>
      </c>
      <c r="D265" s="114">
        <v>150</v>
      </c>
      <c r="E265" s="1" t="s">
        <v>50</v>
      </c>
      <c r="F265" s="35">
        <v>2501</v>
      </c>
      <c r="G265" s="35">
        <v>5000</v>
      </c>
      <c r="H265" s="127">
        <v>5000</v>
      </c>
      <c r="I265" s="138">
        <v>4.5</v>
      </c>
      <c r="J265" s="137"/>
      <c r="K265" s="138">
        <v>550</v>
      </c>
      <c r="L265" s="130">
        <f>I265*(H265/K265)</f>
        <v>40.909090909090914</v>
      </c>
      <c r="M265" s="28">
        <f>+L265*$M$1</f>
        <v>1317.2727272727275</v>
      </c>
      <c r="N265" s="162">
        <f>+M265/H265</f>
        <v>0.2634545454545455</v>
      </c>
      <c r="O265" s="131">
        <f t="shared" si="25"/>
        <v>263.4545454545455</v>
      </c>
      <c r="P265" s="130">
        <f t="shared" si="21"/>
        <v>0</v>
      </c>
    </row>
    <row r="266" spans="1:16" hidden="1" x14ac:dyDescent="0.25">
      <c r="A266" s="114" t="s">
        <v>269</v>
      </c>
      <c r="B266" s="114" t="s">
        <v>271</v>
      </c>
      <c r="C266" s="114">
        <v>61</v>
      </c>
      <c r="D266" s="114">
        <v>100</v>
      </c>
      <c r="E266" s="1" t="s">
        <v>50</v>
      </c>
      <c r="F266" s="35">
        <v>2501</v>
      </c>
      <c r="G266" s="35">
        <v>5000</v>
      </c>
      <c r="H266" s="127">
        <v>5000</v>
      </c>
      <c r="I266" s="138">
        <v>5.5</v>
      </c>
      <c r="J266" s="137"/>
      <c r="K266" s="138">
        <v>325</v>
      </c>
      <c r="L266" s="130">
        <f>I266*(H266/K266)</f>
        <v>84.615384615384613</v>
      </c>
      <c r="M266" s="28">
        <f>+L266*$M$1</f>
        <v>2724.6153846153848</v>
      </c>
      <c r="N266" s="162">
        <f>+M266/H266</f>
        <v>0.54492307692307695</v>
      </c>
      <c r="O266" s="131">
        <f t="shared" si="25"/>
        <v>544.92307692307691</v>
      </c>
      <c r="P266" s="130">
        <f t="shared" si="21"/>
        <v>0</v>
      </c>
    </row>
    <row r="267" spans="1:16" hidden="1" x14ac:dyDescent="0.25">
      <c r="A267" s="114" t="s">
        <v>269</v>
      </c>
      <c r="B267" s="114" t="s">
        <v>271</v>
      </c>
      <c r="C267" s="114">
        <v>61</v>
      </c>
      <c r="D267" s="114">
        <v>100</v>
      </c>
      <c r="E267" s="1" t="s">
        <v>273</v>
      </c>
      <c r="F267" s="35">
        <v>2501</v>
      </c>
      <c r="G267" s="35">
        <v>5000</v>
      </c>
      <c r="H267" s="127">
        <v>5000</v>
      </c>
      <c r="I267" s="138">
        <v>4.5</v>
      </c>
      <c r="J267" s="137"/>
      <c r="K267" s="138">
        <v>400</v>
      </c>
      <c r="L267" s="130">
        <f>I267*(H267/K267)</f>
        <v>56.25</v>
      </c>
      <c r="M267" s="28">
        <f>+L267*$M$1</f>
        <v>1811.2500000000002</v>
      </c>
      <c r="N267" s="162">
        <f>+M267/H267</f>
        <v>0.36225000000000007</v>
      </c>
      <c r="O267" s="131">
        <f t="shared" si="25"/>
        <v>362.25000000000006</v>
      </c>
      <c r="P267" s="130">
        <f t="shared" si="21"/>
        <v>0</v>
      </c>
    </row>
    <row r="268" spans="1:16" hidden="1" x14ac:dyDescent="0.25">
      <c r="A268" s="114" t="s">
        <v>269</v>
      </c>
      <c r="B268" s="114" t="s">
        <v>271</v>
      </c>
      <c r="C268" s="114">
        <v>61</v>
      </c>
      <c r="D268" s="114">
        <v>100</v>
      </c>
      <c r="E268" s="1" t="s">
        <v>277</v>
      </c>
      <c r="F268" s="35">
        <v>5001</v>
      </c>
      <c r="G268" s="35">
        <v>10000</v>
      </c>
      <c r="H268" s="127">
        <v>10000</v>
      </c>
      <c r="I268" s="138">
        <v>3.5</v>
      </c>
      <c r="J268" s="137"/>
      <c r="K268" s="138">
        <v>425</v>
      </c>
      <c r="L268" s="130">
        <f>I268*(H268/K268)</f>
        <v>82.352941176470594</v>
      </c>
      <c r="M268" s="28">
        <f>+L268*$M$1</f>
        <v>2651.7647058823532</v>
      </c>
      <c r="N268" s="162">
        <f>+M268/H268</f>
        <v>0.26517647058823529</v>
      </c>
      <c r="O268" s="131">
        <f t="shared" si="25"/>
        <v>265.1764705882353</v>
      </c>
      <c r="P268" s="130">
        <f t="shared" si="21"/>
        <v>0</v>
      </c>
    </row>
    <row r="269" spans="1:16" hidden="1" x14ac:dyDescent="0.25">
      <c r="A269" s="114" t="s">
        <v>269</v>
      </c>
      <c r="B269" s="114" t="s">
        <v>271</v>
      </c>
      <c r="C269" s="114">
        <v>61</v>
      </c>
      <c r="D269" s="114">
        <v>100</v>
      </c>
      <c r="E269" s="1" t="s">
        <v>273</v>
      </c>
      <c r="F269" s="35">
        <v>5001</v>
      </c>
      <c r="G269" s="35">
        <v>10000</v>
      </c>
      <c r="H269" s="127">
        <v>10000</v>
      </c>
      <c r="I269" s="138">
        <v>4.5</v>
      </c>
      <c r="J269" s="137"/>
      <c r="K269" s="138">
        <v>425</v>
      </c>
      <c r="L269" s="130">
        <f>I269*(H269/K269)</f>
        <v>105.88235294117648</v>
      </c>
      <c r="M269" s="28">
        <f>+L269*$M$1</f>
        <v>3409.4117647058829</v>
      </c>
      <c r="N269" s="162">
        <f>+M269/H269</f>
        <v>0.3409411764705883</v>
      </c>
      <c r="O269" s="131">
        <f t="shared" si="25"/>
        <v>340.94117647058829</v>
      </c>
      <c r="P269" s="130">
        <f t="shared" si="21"/>
        <v>0</v>
      </c>
    </row>
    <row r="270" spans="1:16" hidden="1" x14ac:dyDescent="0.25">
      <c r="A270" s="114" t="s">
        <v>269</v>
      </c>
      <c r="B270" s="114" t="s">
        <v>301</v>
      </c>
      <c r="C270" s="114">
        <v>61</v>
      </c>
      <c r="D270" s="114">
        <v>150</v>
      </c>
      <c r="E270" s="1" t="s">
        <v>17</v>
      </c>
      <c r="F270" s="35">
        <v>5001</v>
      </c>
      <c r="G270" s="35">
        <v>15000</v>
      </c>
      <c r="H270" s="127">
        <v>15000</v>
      </c>
      <c r="I270" s="138">
        <v>3.5</v>
      </c>
      <c r="J270" s="137"/>
      <c r="K270" s="138">
        <v>775</v>
      </c>
      <c r="L270" s="130">
        <f>I270*(H270/K270)</f>
        <v>67.741935483870975</v>
      </c>
      <c r="M270" s="28">
        <f>+L270*$M$1</f>
        <v>2181.2903225806458</v>
      </c>
      <c r="N270" s="162">
        <f>+M270/H270</f>
        <v>0.14541935483870971</v>
      </c>
      <c r="O270" s="131">
        <f t="shared" ref="O270:O274" si="26">+N270*1000</f>
        <v>145.41935483870972</v>
      </c>
      <c r="P270" s="130">
        <f t="shared" si="21"/>
        <v>0</v>
      </c>
    </row>
    <row r="271" spans="1:16" hidden="1" x14ac:dyDescent="0.25">
      <c r="A271" s="114" t="s">
        <v>269</v>
      </c>
      <c r="B271" s="114" t="s">
        <v>301</v>
      </c>
      <c r="C271" s="114">
        <v>61</v>
      </c>
      <c r="D271" s="114">
        <v>150</v>
      </c>
      <c r="E271" s="1" t="s">
        <v>263</v>
      </c>
      <c r="F271" s="35">
        <v>5001</v>
      </c>
      <c r="G271" s="35">
        <v>25000</v>
      </c>
      <c r="H271" s="127">
        <v>25000</v>
      </c>
      <c r="I271" s="138">
        <v>1.5</v>
      </c>
      <c r="J271" s="137"/>
      <c r="K271" s="138">
        <v>1100</v>
      </c>
      <c r="L271" s="130">
        <f>I271*(H271/K271)</f>
        <v>34.090909090909093</v>
      </c>
      <c r="M271" s="28">
        <f>+L271*$M$1</f>
        <v>1097.727272727273</v>
      </c>
      <c r="N271" s="162">
        <f>+M271/H271</f>
        <v>4.3909090909090918E-2</v>
      </c>
      <c r="O271" s="131">
        <f t="shared" si="26"/>
        <v>43.909090909090921</v>
      </c>
      <c r="P271" s="130">
        <f t="shared" ref="P271:P334" si="27">+J271/8</f>
        <v>0</v>
      </c>
    </row>
    <row r="272" spans="1:16" hidden="1" x14ac:dyDescent="0.25">
      <c r="A272" s="114" t="s">
        <v>269</v>
      </c>
      <c r="B272" s="114" t="s">
        <v>301</v>
      </c>
      <c r="C272" s="114">
        <v>61</v>
      </c>
      <c r="D272" s="114">
        <v>150</v>
      </c>
      <c r="E272" s="1" t="s">
        <v>265</v>
      </c>
      <c r="F272" s="35">
        <v>5001</v>
      </c>
      <c r="G272" s="35">
        <v>25000</v>
      </c>
      <c r="H272" s="127">
        <v>25000</v>
      </c>
      <c r="I272" s="138">
        <v>1.5</v>
      </c>
      <c r="J272" s="137"/>
      <c r="K272" s="138">
        <v>1000</v>
      </c>
      <c r="L272" s="130">
        <f>I272*(H272/K272)</f>
        <v>37.5</v>
      </c>
      <c r="M272" s="28">
        <f>+L272*$M$1</f>
        <v>1207.5</v>
      </c>
      <c r="N272" s="162">
        <f>+M272/H272</f>
        <v>4.8300000000000003E-2</v>
      </c>
      <c r="O272" s="131">
        <f t="shared" si="26"/>
        <v>48.300000000000004</v>
      </c>
      <c r="P272" s="130">
        <f t="shared" si="27"/>
        <v>0</v>
      </c>
    </row>
    <row r="273" spans="1:16" hidden="1" x14ac:dyDescent="0.25">
      <c r="A273" s="114" t="s">
        <v>269</v>
      </c>
      <c r="B273" s="114" t="s">
        <v>271</v>
      </c>
      <c r="C273" s="114">
        <v>61</v>
      </c>
      <c r="D273" s="114">
        <v>100</v>
      </c>
      <c r="E273" s="1" t="s">
        <v>263</v>
      </c>
      <c r="F273" s="35">
        <v>5001</v>
      </c>
      <c r="G273" s="35">
        <v>25000</v>
      </c>
      <c r="H273" s="127">
        <v>25000</v>
      </c>
      <c r="I273" s="138">
        <v>1.5</v>
      </c>
      <c r="J273" s="137"/>
      <c r="K273" s="138">
        <v>1100</v>
      </c>
      <c r="L273" s="130">
        <f>I273*(H273/K273)</f>
        <v>34.090909090909093</v>
      </c>
      <c r="M273" s="28">
        <f>+L273*$M$1</f>
        <v>1097.727272727273</v>
      </c>
      <c r="N273" s="162">
        <f>+M273/H273</f>
        <v>4.3909090909090918E-2</v>
      </c>
      <c r="O273" s="131">
        <f t="shared" si="26"/>
        <v>43.909090909090921</v>
      </c>
      <c r="P273" s="130">
        <f t="shared" si="27"/>
        <v>0</v>
      </c>
    </row>
    <row r="274" spans="1:16" hidden="1" x14ac:dyDescent="0.25">
      <c r="A274" s="114" t="s">
        <v>269</v>
      </c>
      <c r="B274" s="114" t="s">
        <v>271</v>
      </c>
      <c r="C274" s="114">
        <v>61</v>
      </c>
      <c r="D274" s="114">
        <v>100</v>
      </c>
      <c r="E274" s="1" t="s">
        <v>265</v>
      </c>
      <c r="F274" s="35">
        <v>5001</v>
      </c>
      <c r="G274" s="35">
        <v>25000</v>
      </c>
      <c r="H274" s="127">
        <v>25000</v>
      </c>
      <c r="I274" s="138">
        <v>1.5</v>
      </c>
      <c r="J274" s="137"/>
      <c r="K274" s="138">
        <v>1000</v>
      </c>
      <c r="L274" s="130">
        <f>I274*(H274/K274)</f>
        <v>37.5</v>
      </c>
      <c r="M274" s="28">
        <f>+L274*$M$1</f>
        <v>1207.5</v>
      </c>
      <c r="N274" s="162">
        <f>+M274/H274</f>
        <v>4.8300000000000003E-2</v>
      </c>
      <c r="O274" s="131">
        <f t="shared" si="26"/>
        <v>48.300000000000004</v>
      </c>
      <c r="P274" s="130">
        <f t="shared" si="27"/>
        <v>0</v>
      </c>
    </row>
    <row r="275" spans="1:16" hidden="1" x14ac:dyDescent="0.25">
      <c r="A275" s="114" t="s">
        <v>269</v>
      </c>
      <c r="B275" s="114" t="s">
        <v>301</v>
      </c>
      <c r="C275" s="114">
        <v>61</v>
      </c>
      <c r="D275" s="114">
        <v>150</v>
      </c>
      <c r="E275" s="1" t="s">
        <v>264</v>
      </c>
      <c r="F275" s="35">
        <v>5001</v>
      </c>
      <c r="G275" s="35">
        <v>25000</v>
      </c>
      <c r="H275" s="127">
        <v>25000</v>
      </c>
      <c r="I275" s="138">
        <v>2.5</v>
      </c>
      <c r="J275" s="137"/>
      <c r="K275" s="138">
        <v>1100</v>
      </c>
      <c r="L275" s="130">
        <f>I275*(H275/K275)</f>
        <v>56.818181818181813</v>
      </c>
      <c r="M275" s="28">
        <f>+L275*$M$1</f>
        <v>1829.5454545454545</v>
      </c>
      <c r="N275" s="162">
        <f>+M275/H275</f>
        <v>7.3181818181818181E-2</v>
      </c>
      <c r="O275" s="131">
        <f t="shared" ref="O275:O294" si="28">+N275*1000</f>
        <v>73.181818181818187</v>
      </c>
      <c r="P275" s="130">
        <f t="shared" si="27"/>
        <v>0</v>
      </c>
    </row>
    <row r="276" spans="1:16" hidden="1" x14ac:dyDescent="0.25">
      <c r="A276" s="114" t="s">
        <v>269</v>
      </c>
      <c r="B276" s="114" t="s">
        <v>301</v>
      </c>
      <c r="C276" s="114">
        <v>61</v>
      </c>
      <c r="D276" s="114">
        <v>150</v>
      </c>
      <c r="E276" s="1" t="s">
        <v>266</v>
      </c>
      <c r="F276" s="35">
        <v>5001</v>
      </c>
      <c r="G276" s="35">
        <v>25000</v>
      </c>
      <c r="H276" s="127">
        <v>25000</v>
      </c>
      <c r="I276" s="138">
        <v>2.5</v>
      </c>
      <c r="J276" s="137"/>
      <c r="K276" s="138">
        <v>1000</v>
      </c>
      <c r="L276" s="130">
        <f>I276*(H276/K276)</f>
        <v>62.5</v>
      </c>
      <c r="M276" s="28">
        <f>+L276*$M$1</f>
        <v>2012.5000000000002</v>
      </c>
      <c r="N276" s="162">
        <f>+M276/H276</f>
        <v>8.0500000000000016E-2</v>
      </c>
      <c r="O276" s="131">
        <f t="shared" si="28"/>
        <v>80.500000000000014</v>
      </c>
      <c r="P276" s="130">
        <f t="shared" si="27"/>
        <v>0</v>
      </c>
    </row>
    <row r="277" spans="1:16" hidden="1" x14ac:dyDescent="0.25">
      <c r="A277" s="114" t="s">
        <v>269</v>
      </c>
      <c r="B277" s="114" t="s">
        <v>271</v>
      </c>
      <c r="C277" s="114">
        <v>61</v>
      </c>
      <c r="D277" s="114">
        <v>100</v>
      </c>
      <c r="E277" s="1" t="s">
        <v>264</v>
      </c>
      <c r="F277" s="35">
        <v>5001</v>
      </c>
      <c r="G277" s="35">
        <v>25000</v>
      </c>
      <c r="H277" s="127">
        <v>25000</v>
      </c>
      <c r="I277" s="138">
        <v>2.5</v>
      </c>
      <c r="J277" s="137"/>
      <c r="K277" s="138">
        <v>1100</v>
      </c>
      <c r="L277" s="130">
        <f>I277*(H277/K277)</f>
        <v>56.818181818181813</v>
      </c>
      <c r="M277" s="28">
        <f>+L277*$M$1</f>
        <v>1829.5454545454545</v>
      </c>
      <c r="N277" s="162">
        <f>+M277/H277</f>
        <v>7.3181818181818181E-2</v>
      </c>
      <c r="O277" s="131">
        <f t="shared" si="28"/>
        <v>73.181818181818187</v>
      </c>
      <c r="P277" s="130">
        <f t="shared" si="27"/>
        <v>0</v>
      </c>
    </row>
    <row r="278" spans="1:16" hidden="1" x14ac:dyDescent="0.25">
      <c r="A278" s="114" t="s">
        <v>269</v>
      </c>
      <c r="B278" s="114" t="s">
        <v>271</v>
      </c>
      <c r="C278" s="114">
        <v>61</v>
      </c>
      <c r="D278" s="114">
        <v>100</v>
      </c>
      <c r="E278" s="1" t="s">
        <v>266</v>
      </c>
      <c r="F278" s="35">
        <v>5001</v>
      </c>
      <c r="G278" s="35">
        <v>25000</v>
      </c>
      <c r="H278" s="127">
        <v>25000</v>
      </c>
      <c r="I278" s="138">
        <v>2.5</v>
      </c>
      <c r="J278" s="137"/>
      <c r="K278" s="138">
        <v>1000</v>
      </c>
      <c r="L278" s="130">
        <f>I278*(H278/K278)</f>
        <v>62.5</v>
      </c>
      <c r="M278" s="28">
        <f>+L278*$M$1</f>
        <v>2012.5000000000002</v>
      </c>
      <c r="N278" s="162">
        <f>+M278/H278</f>
        <v>8.0500000000000016E-2</v>
      </c>
      <c r="O278" s="131">
        <f t="shared" si="28"/>
        <v>80.500000000000014</v>
      </c>
      <c r="P278" s="130">
        <f t="shared" si="27"/>
        <v>0</v>
      </c>
    </row>
    <row r="279" spans="1:16" hidden="1" x14ac:dyDescent="0.25">
      <c r="A279" s="114" t="s">
        <v>269</v>
      </c>
      <c r="B279" s="114" t="s">
        <v>271</v>
      </c>
      <c r="C279" s="114">
        <v>61</v>
      </c>
      <c r="D279" s="114">
        <v>100</v>
      </c>
      <c r="E279" s="1" t="s">
        <v>277</v>
      </c>
      <c r="F279" s="35">
        <v>10001</v>
      </c>
      <c r="G279" s="35">
        <v>999999</v>
      </c>
      <c r="H279" s="127">
        <v>25000</v>
      </c>
      <c r="I279" s="138">
        <v>3.5</v>
      </c>
      <c r="J279" s="137"/>
      <c r="K279" s="138">
        <v>450</v>
      </c>
      <c r="L279" s="130">
        <f>I279*(H279/K279)</f>
        <v>194.44444444444446</v>
      </c>
      <c r="M279" s="28">
        <f>+L279*$M$1</f>
        <v>6261.1111111111122</v>
      </c>
      <c r="N279" s="162">
        <f>+M279/H279</f>
        <v>0.25044444444444447</v>
      </c>
      <c r="O279" s="131">
        <f t="shared" si="28"/>
        <v>250.44444444444446</v>
      </c>
      <c r="P279" s="130">
        <f t="shared" si="27"/>
        <v>0</v>
      </c>
    </row>
    <row r="280" spans="1:16" hidden="1" x14ac:dyDescent="0.25">
      <c r="A280" s="114" t="s">
        <v>269</v>
      </c>
      <c r="B280" s="114" t="s">
        <v>301</v>
      </c>
      <c r="C280" s="114">
        <v>61</v>
      </c>
      <c r="D280" s="114">
        <v>150</v>
      </c>
      <c r="E280" s="1" t="s">
        <v>50</v>
      </c>
      <c r="F280" s="35">
        <v>5001</v>
      </c>
      <c r="G280" s="35">
        <v>25000</v>
      </c>
      <c r="H280" s="127">
        <v>25000</v>
      </c>
      <c r="I280" s="138">
        <v>4.5</v>
      </c>
      <c r="J280" s="137"/>
      <c r="K280" s="138">
        <v>650</v>
      </c>
      <c r="L280" s="130">
        <f>I280*(H280/K280)</f>
        <v>173.07692307692307</v>
      </c>
      <c r="M280" s="28">
        <f>+L280*$M$1</f>
        <v>5573.0769230769229</v>
      </c>
      <c r="N280" s="162">
        <f>+M280/H280</f>
        <v>0.22292307692307692</v>
      </c>
      <c r="O280" s="131">
        <f t="shared" si="28"/>
        <v>222.92307692307691</v>
      </c>
      <c r="P280" s="130">
        <f t="shared" si="27"/>
        <v>0</v>
      </c>
    </row>
    <row r="281" spans="1:16" hidden="1" x14ac:dyDescent="0.25">
      <c r="A281" s="114" t="s">
        <v>269</v>
      </c>
      <c r="B281" s="114" t="s">
        <v>271</v>
      </c>
      <c r="C281" s="114">
        <v>61</v>
      </c>
      <c r="D281" s="114">
        <v>100</v>
      </c>
      <c r="E281" s="1" t="s">
        <v>50</v>
      </c>
      <c r="F281" s="35">
        <v>5001</v>
      </c>
      <c r="G281" s="35">
        <v>25000</v>
      </c>
      <c r="H281" s="127">
        <v>25000</v>
      </c>
      <c r="I281" s="138">
        <v>5.5</v>
      </c>
      <c r="J281" s="137"/>
      <c r="K281" s="138">
        <v>330</v>
      </c>
      <c r="L281" s="130">
        <f>I281*(H281/K281)</f>
        <v>416.66666666666663</v>
      </c>
      <c r="M281" s="28">
        <f>+L281*$M$1</f>
        <v>13416.666666666666</v>
      </c>
      <c r="N281" s="162">
        <f>+M281/H281</f>
        <v>0.53666666666666663</v>
      </c>
      <c r="O281" s="131">
        <f t="shared" si="28"/>
        <v>536.66666666666663</v>
      </c>
      <c r="P281" s="130">
        <f t="shared" si="27"/>
        <v>0</v>
      </c>
    </row>
    <row r="282" spans="1:16" x14ac:dyDescent="0.25">
      <c r="A282" s="114" t="s">
        <v>270</v>
      </c>
      <c r="B282" s="114" t="s">
        <v>301</v>
      </c>
      <c r="C282" s="114">
        <v>151</v>
      </c>
      <c r="D282" s="114">
        <v>300</v>
      </c>
      <c r="E282" s="1" t="s">
        <v>264</v>
      </c>
      <c r="F282" s="35">
        <v>2501</v>
      </c>
      <c r="G282" s="35">
        <v>5000</v>
      </c>
      <c r="H282" s="127">
        <v>5000</v>
      </c>
      <c r="I282" s="138">
        <v>2.5</v>
      </c>
      <c r="J282" s="137"/>
      <c r="K282" s="138">
        <v>750</v>
      </c>
      <c r="L282" s="130">
        <f>I282*(H282/K282)</f>
        <v>16.666666666666668</v>
      </c>
      <c r="M282" s="28">
        <f>+L282*$M$1</f>
        <v>536.66666666666674</v>
      </c>
      <c r="N282" s="162">
        <f>+M282/H282</f>
        <v>0.10733333333333335</v>
      </c>
      <c r="O282" s="131">
        <f t="shared" si="28"/>
        <v>107.33333333333336</v>
      </c>
      <c r="P282" s="130">
        <f t="shared" si="27"/>
        <v>0</v>
      </c>
    </row>
    <row r="283" spans="1:16" x14ac:dyDescent="0.25">
      <c r="A283" s="114" t="s">
        <v>270</v>
      </c>
      <c r="B283" s="114" t="s">
        <v>301</v>
      </c>
      <c r="C283" s="114">
        <v>301</v>
      </c>
      <c r="D283" s="114">
        <v>500</v>
      </c>
      <c r="E283" s="1" t="s">
        <v>264</v>
      </c>
      <c r="F283" s="35">
        <v>2501</v>
      </c>
      <c r="G283" s="35">
        <v>5000</v>
      </c>
      <c r="H283" s="127">
        <v>5000</v>
      </c>
      <c r="I283" s="138">
        <v>2.5</v>
      </c>
      <c r="J283" s="137"/>
      <c r="K283" s="138">
        <v>750</v>
      </c>
      <c r="L283" s="130">
        <f>I283*(H283/K283)</f>
        <v>16.666666666666668</v>
      </c>
      <c r="M283" s="28">
        <f>+L283*$M$1</f>
        <v>536.66666666666674</v>
      </c>
      <c r="N283" s="162">
        <f>+M283/H283</f>
        <v>0.10733333333333335</v>
      </c>
      <c r="O283" s="131">
        <f t="shared" si="28"/>
        <v>107.33333333333336</v>
      </c>
      <c r="P283" s="130">
        <f t="shared" si="27"/>
        <v>0</v>
      </c>
    </row>
    <row r="284" spans="1:16" x14ac:dyDescent="0.25">
      <c r="A284" s="114" t="s">
        <v>270</v>
      </c>
      <c r="B284" s="114" t="s">
        <v>301</v>
      </c>
      <c r="C284" s="114">
        <v>501</v>
      </c>
      <c r="D284" s="114">
        <v>1000</v>
      </c>
      <c r="E284" s="1" t="s">
        <v>264</v>
      </c>
      <c r="F284" s="35">
        <v>2501</v>
      </c>
      <c r="G284" s="35">
        <v>5000</v>
      </c>
      <c r="H284" s="127">
        <v>5000</v>
      </c>
      <c r="I284" s="138">
        <v>2.5</v>
      </c>
      <c r="J284" s="137"/>
      <c r="K284" s="138">
        <v>750</v>
      </c>
      <c r="L284" s="130">
        <f>I284*(H284/K284)</f>
        <v>16.666666666666668</v>
      </c>
      <c r="M284" s="28">
        <f>+L284*$M$1</f>
        <v>536.66666666666674</v>
      </c>
      <c r="N284" s="162">
        <f>+M284/H284</f>
        <v>0.10733333333333335</v>
      </c>
      <c r="O284" s="131">
        <f t="shared" si="28"/>
        <v>107.33333333333336</v>
      </c>
      <c r="P284" s="130">
        <f t="shared" si="27"/>
        <v>0</v>
      </c>
    </row>
    <row r="285" spans="1:16" hidden="1" x14ac:dyDescent="0.25">
      <c r="A285" s="114" t="s">
        <v>269</v>
      </c>
      <c r="B285" s="114" t="s">
        <v>271</v>
      </c>
      <c r="C285" s="114">
        <v>61</v>
      </c>
      <c r="D285" s="114">
        <v>100</v>
      </c>
      <c r="E285" s="1" t="s">
        <v>273</v>
      </c>
      <c r="F285" s="35">
        <v>10001</v>
      </c>
      <c r="G285" s="35">
        <v>999999</v>
      </c>
      <c r="H285" s="127">
        <v>25000</v>
      </c>
      <c r="I285" s="138">
        <v>4.5</v>
      </c>
      <c r="J285" s="137"/>
      <c r="K285" s="138">
        <v>450</v>
      </c>
      <c r="L285" s="130">
        <f>I285*(H285/K285)</f>
        <v>250</v>
      </c>
      <c r="M285" s="28">
        <f>+L285*$M$1</f>
        <v>8050.0000000000009</v>
      </c>
      <c r="N285" s="162">
        <f>+M285/H285</f>
        <v>0.32200000000000006</v>
      </c>
      <c r="O285" s="131">
        <f t="shared" si="28"/>
        <v>322.00000000000006</v>
      </c>
      <c r="P285" s="130">
        <f t="shared" si="27"/>
        <v>0</v>
      </c>
    </row>
    <row r="286" spans="1:16" hidden="1" x14ac:dyDescent="0.25">
      <c r="A286" s="114" t="s">
        <v>269</v>
      </c>
      <c r="B286" s="114" t="s">
        <v>301</v>
      </c>
      <c r="C286" s="114">
        <v>151</v>
      </c>
      <c r="D286" s="114">
        <v>300</v>
      </c>
      <c r="E286" s="1" t="s">
        <v>263</v>
      </c>
      <c r="F286" s="35">
        <v>0</v>
      </c>
      <c r="G286" s="35">
        <v>500</v>
      </c>
      <c r="H286" s="127">
        <v>500</v>
      </c>
      <c r="I286" s="138">
        <v>1.5</v>
      </c>
      <c r="J286" s="138">
        <v>1.5</v>
      </c>
      <c r="K286" s="136"/>
      <c r="L286" s="130">
        <f>+I286*J286</f>
        <v>2.25</v>
      </c>
      <c r="M286" s="28">
        <f>+L286*$M$1</f>
        <v>72.45</v>
      </c>
      <c r="N286" s="162">
        <f>+M286/H286</f>
        <v>0.1449</v>
      </c>
      <c r="O286" s="131">
        <f t="shared" si="28"/>
        <v>144.9</v>
      </c>
      <c r="P286" s="130">
        <f t="shared" si="27"/>
        <v>0.1875</v>
      </c>
    </row>
    <row r="287" spans="1:16" hidden="1" x14ac:dyDescent="0.25">
      <c r="A287" s="114" t="s">
        <v>269</v>
      </c>
      <c r="B287" s="114" t="s">
        <v>301</v>
      </c>
      <c r="C287" s="114">
        <v>151</v>
      </c>
      <c r="D287" s="114">
        <v>300</v>
      </c>
      <c r="E287" s="1" t="s">
        <v>265</v>
      </c>
      <c r="F287" s="35">
        <v>0</v>
      </c>
      <c r="G287" s="35">
        <v>500</v>
      </c>
      <c r="H287" s="127">
        <v>500</v>
      </c>
      <c r="I287" s="138">
        <v>1.5</v>
      </c>
      <c r="J287" s="138">
        <v>1.5</v>
      </c>
      <c r="K287" s="136"/>
      <c r="L287" s="130">
        <f>+I287*J287</f>
        <v>2.25</v>
      </c>
      <c r="M287" s="28">
        <f>+L287*$M$1</f>
        <v>72.45</v>
      </c>
      <c r="N287" s="162">
        <f>+M287/H287</f>
        <v>0.1449</v>
      </c>
      <c r="O287" s="131">
        <f t="shared" si="28"/>
        <v>144.9</v>
      </c>
      <c r="P287" s="130">
        <f t="shared" si="27"/>
        <v>0.1875</v>
      </c>
    </row>
    <row r="288" spans="1:16" hidden="1" x14ac:dyDescent="0.25">
      <c r="A288" s="114" t="s">
        <v>269</v>
      </c>
      <c r="B288" s="114" t="s">
        <v>301</v>
      </c>
      <c r="C288" s="114">
        <v>151</v>
      </c>
      <c r="D288" s="114">
        <v>300</v>
      </c>
      <c r="E288" s="1" t="s">
        <v>264</v>
      </c>
      <c r="F288" s="35">
        <v>0</v>
      </c>
      <c r="G288" s="35">
        <v>500</v>
      </c>
      <c r="H288" s="127">
        <v>500</v>
      </c>
      <c r="I288" s="138">
        <v>2.5</v>
      </c>
      <c r="J288" s="138">
        <v>1</v>
      </c>
      <c r="K288" s="136"/>
      <c r="L288" s="130">
        <f>+I288*J288</f>
        <v>2.5</v>
      </c>
      <c r="M288" s="28">
        <f>+L288*$M$1</f>
        <v>80.5</v>
      </c>
      <c r="N288" s="162">
        <f>+M288/H288</f>
        <v>0.161</v>
      </c>
      <c r="O288" s="131">
        <f t="shared" si="28"/>
        <v>161</v>
      </c>
      <c r="P288" s="130">
        <f t="shared" si="27"/>
        <v>0.125</v>
      </c>
    </row>
    <row r="289" spans="1:16" hidden="1" x14ac:dyDescent="0.25">
      <c r="A289" s="114" t="s">
        <v>269</v>
      </c>
      <c r="B289" s="114" t="s">
        <v>301</v>
      </c>
      <c r="C289" s="114">
        <v>151</v>
      </c>
      <c r="D289" s="114">
        <v>300</v>
      </c>
      <c r="E289" s="1" t="s">
        <v>266</v>
      </c>
      <c r="F289" s="35">
        <v>0</v>
      </c>
      <c r="G289" s="35">
        <v>500</v>
      </c>
      <c r="H289" s="127">
        <v>500</v>
      </c>
      <c r="I289" s="138">
        <v>2.5</v>
      </c>
      <c r="J289" s="138">
        <v>1.5</v>
      </c>
      <c r="K289" s="136"/>
      <c r="L289" s="130">
        <f>+I289*J289</f>
        <v>3.75</v>
      </c>
      <c r="M289" s="28">
        <f>+L289*$M$1</f>
        <v>120.75000000000001</v>
      </c>
      <c r="N289" s="162">
        <f>+M289/H289</f>
        <v>0.24150000000000002</v>
      </c>
      <c r="O289" s="131">
        <f t="shared" si="28"/>
        <v>241.50000000000003</v>
      </c>
      <c r="P289" s="130">
        <f t="shared" si="27"/>
        <v>0.1875</v>
      </c>
    </row>
    <row r="290" spans="1:16" hidden="1" x14ac:dyDescent="0.25">
      <c r="A290" s="114" t="s">
        <v>269</v>
      </c>
      <c r="B290" s="114" t="s">
        <v>301</v>
      </c>
      <c r="C290" s="114">
        <v>151</v>
      </c>
      <c r="D290" s="114">
        <v>300</v>
      </c>
      <c r="E290" s="1" t="s">
        <v>17</v>
      </c>
      <c r="F290" s="35">
        <v>0</v>
      </c>
      <c r="G290" s="35">
        <v>500</v>
      </c>
      <c r="H290" s="127">
        <v>500</v>
      </c>
      <c r="I290" s="138">
        <v>3.5</v>
      </c>
      <c r="J290" s="138">
        <v>1</v>
      </c>
      <c r="K290" s="136"/>
      <c r="L290" s="130">
        <f>+I290*J290</f>
        <v>3.5</v>
      </c>
      <c r="M290" s="28">
        <f>+L290*$M$1</f>
        <v>112.70000000000002</v>
      </c>
      <c r="N290" s="162">
        <f>+M290/H290</f>
        <v>0.22540000000000004</v>
      </c>
      <c r="O290" s="131">
        <f t="shared" si="28"/>
        <v>225.40000000000003</v>
      </c>
      <c r="P290" s="130">
        <f t="shared" si="27"/>
        <v>0.125</v>
      </c>
    </row>
    <row r="291" spans="1:16" hidden="1" x14ac:dyDescent="0.25">
      <c r="A291" s="114" t="s">
        <v>269</v>
      </c>
      <c r="B291" s="114" t="s">
        <v>301</v>
      </c>
      <c r="C291" s="114">
        <v>151</v>
      </c>
      <c r="D291" s="114">
        <v>300</v>
      </c>
      <c r="E291" s="1" t="s">
        <v>50</v>
      </c>
      <c r="F291" s="35">
        <v>0</v>
      </c>
      <c r="G291" s="35">
        <v>500</v>
      </c>
      <c r="H291" s="127">
        <v>500</v>
      </c>
      <c r="I291" s="138">
        <v>4.5</v>
      </c>
      <c r="J291" s="138">
        <v>2.5</v>
      </c>
      <c r="K291" s="136"/>
      <c r="L291" s="130">
        <f>+I291*J291</f>
        <v>11.25</v>
      </c>
      <c r="M291" s="28">
        <f>+L291*$M$1</f>
        <v>362.25000000000006</v>
      </c>
      <c r="N291" s="162">
        <f>+M291/H291</f>
        <v>0.72450000000000014</v>
      </c>
      <c r="O291" s="131">
        <f t="shared" si="28"/>
        <v>724.50000000000011</v>
      </c>
      <c r="P291" s="130">
        <f t="shared" si="27"/>
        <v>0.3125</v>
      </c>
    </row>
    <row r="292" spans="1:16" hidden="1" x14ac:dyDescent="0.25">
      <c r="A292" s="114" t="s">
        <v>269</v>
      </c>
      <c r="B292" s="114" t="s">
        <v>301</v>
      </c>
      <c r="C292" s="114">
        <v>151</v>
      </c>
      <c r="D292" s="114">
        <v>300</v>
      </c>
      <c r="E292" s="1" t="s">
        <v>263</v>
      </c>
      <c r="F292" s="35">
        <v>501</v>
      </c>
      <c r="G292" s="35">
        <v>1000</v>
      </c>
      <c r="H292" s="127">
        <v>1000</v>
      </c>
      <c r="I292" s="138">
        <v>1.5</v>
      </c>
      <c r="J292" s="138">
        <v>2</v>
      </c>
      <c r="K292" s="136"/>
      <c r="L292" s="130">
        <f>+I292*J292</f>
        <v>3</v>
      </c>
      <c r="M292" s="28">
        <f>+L292*$M$1</f>
        <v>96.600000000000009</v>
      </c>
      <c r="N292" s="162">
        <f>+M292/H292</f>
        <v>9.6600000000000005E-2</v>
      </c>
      <c r="O292" s="131">
        <f t="shared" si="28"/>
        <v>96.600000000000009</v>
      </c>
      <c r="P292" s="130">
        <f t="shared" si="27"/>
        <v>0.25</v>
      </c>
    </row>
    <row r="293" spans="1:16" hidden="1" x14ac:dyDescent="0.25">
      <c r="A293" s="114" t="s">
        <v>269</v>
      </c>
      <c r="B293" s="114" t="s">
        <v>301</v>
      </c>
      <c r="C293" s="114">
        <v>151</v>
      </c>
      <c r="D293" s="114">
        <v>300</v>
      </c>
      <c r="E293" s="1" t="s">
        <v>265</v>
      </c>
      <c r="F293" s="35">
        <v>501</v>
      </c>
      <c r="G293" s="35">
        <v>1000</v>
      </c>
      <c r="H293" s="127">
        <v>1000</v>
      </c>
      <c r="I293" s="138">
        <v>1.5</v>
      </c>
      <c r="J293" s="138">
        <v>2</v>
      </c>
      <c r="K293" s="136"/>
      <c r="L293" s="130">
        <f>+I293*J293</f>
        <v>3</v>
      </c>
      <c r="M293" s="28">
        <f>+L293*$M$1</f>
        <v>96.600000000000009</v>
      </c>
      <c r="N293" s="162">
        <f>+M293/H293</f>
        <v>9.6600000000000005E-2</v>
      </c>
      <c r="O293" s="131">
        <f t="shared" si="28"/>
        <v>96.600000000000009</v>
      </c>
      <c r="P293" s="130">
        <f t="shared" si="27"/>
        <v>0.25</v>
      </c>
    </row>
    <row r="294" spans="1:16" hidden="1" x14ac:dyDescent="0.25">
      <c r="A294" s="114" t="s">
        <v>269</v>
      </c>
      <c r="B294" s="114" t="s">
        <v>301</v>
      </c>
      <c r="C294" s="114">
        <v>151</v>
      </c>
      <c r="D294" s="114">
        <v>300</v>
      </c>
      <c r="E294" s="1" t="s">
        <v>264</v>
      </c>
      <c r="F294" s="35">
        <v>501</v>
      </c>
      <c r="G294" s="35">
        <v>1000</v>
      </c>
      <c r="H294" s="127">
        <v>1000</v>
      </c>
      <c r="I294" s="138">
        <v>2.5</v>
      </c>
      <c r="J294" s="138">
        <v>1.5</v>
      </c>
      <c r="K294" s="136"/>
      <c r="L294" s="130">
        <f>+I294*J294</f>
        <v>3.75</v>
      </c>
      <c r="M294" s="28">
        <f>+L294*$M$1</f>
        <v>120.75000000000001</v>
      </c>
      <c r="N294" s="162">
        <f>+M294/H294</f>
        <v>0.12075000000000001</v>
      </c>
      <c r="O294" s="131">
        <f t="shared" si="28"/>
        <v>120.75000000000001</v>
      </c>
      <c r="P294" s="130">
        <f t="shared" si="27"/>
        <v>0.1875</v>
      </c>
    </row>
    <row r="295" spans="1:16" x14ac:dyDescent="0.25">
      <c r="A295" s="114" t="s">
        <v>270</v>
      </c>
      <c r="B295" s="114" t="s">
        <v>301</v>
      </c>
      <c r="C295" s="114">
        <v>151</v>
      </c>
      <c r="D295" s="114">
        <v>300</v>
      </c>
      <c r="E295" s="1" t="s">
        <v>18</v>
      </c>
      <c r="F295" s="35">
        <v>0</v>
      </c>
      <c r="G295" s="35">
        <v>500</v>
      </c>
      <c r="H295" s="127">
        <v>500</v>
      </c>
      <c r="I295" s="138">
        <v>3.5</v>
      </c>
      <c r="J295" s="138">
        <v>2.5</v>
      </c>
      <c r="K295" s="136"/>
      <c r="L295">
        <f>+I295*J295</f>
        <v>8.75</v>
      </c>
      <c r="M295" s="28">
        <f>+L295*$M$1</f>
        <v>281.75</v>
      </c>
      <c r="N295" s="162">
        <f>+M295/H295</f>
        <v>0.5635</v>
      </c>
      <c r="O295" s="131">
        <f t="shared" ref="O295:O300" si="29">+N295*1000</f>
        <v>563.5</v>
      </c>
      <c r="P295" s="130">
        <f t="shared" si="27"/>
        <v>0.3125</v>
      </c>
    </row>
    <row r="296" spans="1:16" hidden="1" x14ac:dyDescent="0.25">
      <c r="A296" s="114" t="s">
        <v>269</v>
      </c>
      <c r="B296" s="114" t="s">
        <v>301</v>
      </c>
      <c r="C296" s="114">
        <v>151</v>
      </c>
      <c r="D296" s="114">
        <v>300</v>
      </c>
      <c r="E296" s="1" t="s">
        <v>266</v>
      </c>
      <c r="F296" s="35">
        <v>501</v>
      </c>
      <c r="G296" s="35">
        <v>1000</v>
      </c>
      <c r="H296" s="127">
        <v>1000</v>
      </c>
      <c r="I296" s="138">
        <v>2.5</v>
      </c>
      <c r="J296" s="138">
        <v>2</v>
      </c>
      <c r="K296" s="136"/>
      <c r="L296" s="130">
        <f>+I296*J296</f>
        <v>5</v>
      </c>
      <c r="M296" s="28">
        <f>+L296*$M$1</f>
        <v>161</v>
      </c>
      <c r="N296" s="162">
        <f>+M296/H296</f>
        <v>0.161</v>
      </c>
      <c r="O296" s="131">
        <f t="shared" si="29"/>
        <v>161</v>
      </c>
      <c r="P296" s="130">
        <f t="shared" si="27"/>
        <v>0.25</v>
      </c>
    </row>
    <row r="297" spans="1:16" hidden="1" x14ac:dyDescent="0.25">
      <c r="A297" s="114" t="s">
        <v>269</v>
      </c>
      <c r="B297" s="114" t="s">
        <v>301</v>
      </c>
      <c r="C297" s="114">
        <v>151</v>
      </c>
      <c r="D297" s="114">
        <v>300</v>
      </c>
      <c r="E297" s="1" t="s">
        <v>17</v>
      </c>
      <c r="F297" s="35">
        <v>501</v>
      </c>
      <c r="G297" s="35">
        <v>1000</v>
      </c>
      <c r="H297" s="127">
        <v>1000</v>
      </c>
      <c r="I297" s="138">
        <v>3.5</v>
      </c>
      <c r="J297" s="138">
        <v>1.5</v>
      </c>
      <c r="K297" s="136"/>
      <c r="L297" s="130">
        <f>+I297*J297</f>
        <v>5.25</v>
      </c>
      <c r="M297" s="28">
        <f>+L297*$M$1</f>
        <v>169.05</v>
      </c>
      <c r="N297" s="162">
        <f>+M297/H297</f>
        <v>0.16905000000000001</v>
      </c>
      <c r="O297" s="131">
        <f t="shared" si="29"/>
        <v>169.05</v>
      </c>
      <c r="P297" s="130">
        <f t="shared" si="27"/>
        <v>0.1875</v>
      </c>
    </row>
    <row r="298" spans="1:16" hidden="1" x14ac:dyDescent="0.25">
      <c r="A298" s="114" t="s">
        <v>269</v>
      </c>
      <c r="B298" s="114" t="s">
        <v>301</v>
      </c>
      <c r="C298" s="114">
        <v>151</v>
      </c>
      <c r="D298" s="114">
        <v>300</v>
      </c>
      <c r="E298" s="1" t="s">
        <v>50</v>
      </c>
      <c r="F298" s="35">
        <v>501</v>
      </c>
      <c r="G298" s="35">
        <v>1000</v>
      </c>
      <c r="H298" s="127">
        <v>1000</v>
      </c>
      <c r="I298" s="138">
        <v>4.5</v>
      </c>
      <c r="J298" s="139">
        <v>3</v>
      </c>
      <c r="K298" s="136"/>
      <c r="L298" s="130">
        <f>+I298*J298</f>
        <v>13.5</v>
      </c>
      <c r="M298" s="28">
        <f>+L298*$M$1</f>
        <v>434.70000000000005</v>
      </c>
      <c r="N298" s="162">
        <f>+M298/H298</f>
        <v>0.43470000000000003</v>
      </c>
      <c r="O298" s="131">
        <f t="shared" si="29"/>
        <v>434.70000000000005</v>
      </c>
      <c r="P298" s="130">
        <f t="shared" si="27"/>
        <v>0.375</v>
      </c>
    </row>
    <row r="299" spans="1:16" hidden="1" x14ac:dyDescent="0.25">
      <c r="A299" s="114" t="s">
        <v>269</v>
      </c>
      <c r="B299" s="114" t="s">
        <v>301</v>
      </c>
      <c r="C299" s="114">
        <v>151</v>
      </c>
      <c r="D299" s="114">
        <v>300</v>
      </c>
      <c r="E299" s="1" t="s">
        <v>263</v>
      </c>
      <c r="F299" s="35">
        <v>1001</v>
      </c>
      <c r="G299" s="35">
        <v>2500</v>
      </c>
      <c r="H299" s="127">
        <v>2500</v>
      </c>
      <c r="I299" s="138">
        <v>1.5</v>
      </c>
      <c r="J299" s="137"/>
      <c r="K299" s="138">
        <v>700</v>
      </c>
      <c r="L299" s="130">
        <f>I299*(H299/K299)</f>
        <v>5.3571428571428577</v>
      </c>
      <c r="M299" s="28">
        <f>+L299*$M$1</f>
        <v>172.50000000000003</v>
      </c>
      <c r="N299" s="162">
        <f>+M299/H299</f>
        <v>6.9000000000000006E-2</v>
      </c>
      <c r="O299" s="131">
        <f t="shared" si="29"/>
        <v>69</v>
      </c>
      <c r="P299" s="130">
        <f t="shared" si="27"/>
        <v>0</v>
      </c>
    </row>
    <row r="300" spans="1:16" hidden="1" x14ac:dyDescent="0.25">
      <c r="A300" s="114" t="s">
        <v>269</v>
      </c>
      <c r="B300" s="114" t="s">
        <v>301</v>
      </c>
      <c r="C300" s="114">
        <v>151</v>
      </c>
      <c r="D300" s="114">
        <v>300</v>
      </c>
      <c r="E300" s="1" t="s">
        <v>265</v>
      </c>
      <c r="F300" s="35">
        <v>1001</v>
      </c>
      <c r="G300" s="35">
        <v>2500</v>
      </c>
      <c r="H300" s="127">
        <v>2500</v>
      </c>
      <c r="I300" s="138">
        <v>1.5</v>
      </c>
      <c r="J300" s="137"/>
      <c r="K300" s="138">
        <v>600</v>
      </c>
      <c r="L300" s="130">
        <f>I300*(H300/K300)</f>
        <v>6.25</v>
      </c>
      <c r="M300" s="28">
        <f>+L300*$M$1</f>
        <v>201.25000000000003</v>
      </c>
      <c r="N300" s="162">
        <f>+M300/H300</f>
        <v>8.0500000000000016E-2</v>
      </c>
      <c r="O300" s="131">
        <f t="shared" si="29"/>
        <v>80.500000000000014</v>
      </c>
      <c r="P300" s="130">
        <f t="shared" si="27"/>
        <v>0</v>
      </c>
    </row>
    <row r="301" spans="1:16" hidden="1" x14ac:dyDescent="0.25">
      <c r="A301" s="114" t="s">
        <v>269</v>
      </c>
      <c r="B301" s="114" t="s">
        <v>301</v>
      </c>
      <c r="C301" s="114">
        <v>151</v>
      </c>
      <c r="D301" s="114">
        <v>300</v>
      </c>
      <c r="E301" s="1" t="s">
        <v>264</v>
      </c>
      <c r="F301" s="35">
        <v>1001</v>
      </c>
      <c r="G301" s="35">
        <v>2500</v>
      </c>
      <c r="H301" s="127">
        <v>2500</v>
      </c>
      <c r="I301" s="138">
        <v>2.5</v>
      </c>
      <c r="J301" s="137"/>
      <c r="K301" s="138">
        <v>800</v>
      </c>
      <c r="L301" s="130">
        <f>I301*(H301/K301)</f>
        <v>7.8125</v>
      </c>
      <c r="M301" s="28">
        <f>+L301*$M$1</f>
        <v>251.56250000000003</v>
      </c>
      <c r="N301" s="162">
        <f>+M301/H301</f>
        <v>0.10062500000000001</v>
      </c>
      <c r="O301" s="131">
        <f t="shared" ref="O301:O343" si="30">+N301*1000</f>
        <v>100.625</v>
      </c>
      <c r="P301" s="130">
        <f t="shared" si="27"/>
        <v>0</v>
      </c>
    </row>
    <row r="302" spans="1:16" x14ac:dyDescent="0.25">
      <c r="A302" s="114" t="s">
        <v>270</v>
      </c>
      <c r="B302" s="114" t="s">
        <v>301</v>
      </c>
      <c r="C302" s="114">
        <v>151</v>
      </c>
      <c r="D302" s="114">
        <v>300</v>
      </c>
      <c r="E302" s="1" t="s">
        <v>17</v>
      </c>
      <c r="F302" s="35">
        <v>2501</v>
      </c>
      <c r="G302" s="35">
        <v>5000</v>
      </c>
      <c r="H302" s="127">
        <v>5000</v>
      </c>
      <c r="I302" s="138">
        <v>3.5</v>
      </c>
      <c r="J302" s="137"/>
      <c r="K302" s="138">
        <v>600</v>
      </c>
      <c r="L302" s="130">
        <f>I302*(H302/K302)</f>
        <v>29.166666666666668</v>
      </c>
      <c r="M302" s="28">
        <f>+L302*$M$1</f>
        <v>939.16666666666674</v>
      </c>
      <c r="N302" s="162">
        <f>+M302/H302</f>
        <v>0.18783333333333335</v>
      </c>
      <c r="O302" s="131">
        <f t="shared" si="30"/>
        <v>187.83333333333334</v>
      </c>
      <c r="P302" s="130">
        <f t="shared" si="27"/>
        <v>0</v>
      </c>
    </row>
    <row r="303" spans="1:16" x14ac:dyDescent="0.25">
      <c r="A303" s="114" t="s">
        <v>270</v>
      </c>
      <c r="B303" s="114" t="s">
        <v>301</v>
      </c>
      <c r="C303" s="114">
        <v>301</v>
      </c>
      <c r="D303" s="114">
        <v>500</v>
      </c>
      <c r="E303" s="1" t="s">
        <v>17</v>
      </c>
      <c r="F303" s="35">
        <v>2501</v>
      </c>
      <c r="G303" s="35">
        <v>5000</v>
      </c>
      <c r="H303" s="127">
        <v>5000</v>
      </c>
      <c r="I303" s="138">
        <v>3.5</v>
      </c>
      <c r="J303" s="137"/>
      <c r="K303" s="138">
        <v>600</v>
      </c>
      <c r="L303" s="130">
        <f>I303*(H303/K303)</f>
        <v>29.166666666666668</v>
      </c>
      <c r="M303" s="28">
        <f>+L303*$M$1</f>
        <v>939.16666666666674</v>
      </c>
      <c r="N303" s="162">
        <f>+M303/H303</f>
        <v>0.18783333333333335</v>
      </c>
      <c r="O303" s="131">
        <f t="shared" si="30"/>
        <v>187.83333333333334</v>
      </c>
      <c r="P303" s="130">
        <f t="shared" si="27"/>
        <v>0</v>
      </c>
    </row>
    <row r="304" spans="1:16" x14ac:dyDescent="0.25">
      <c r="A304" s="114" t="s">
        <v>270</v>
      </c>
      <c r="B304" s="114" t="s">
        <v>301</v>
      </c>
      <c r="C304" s="114">
        <v>501</v>
      </c>
      <c r="D304" s="114">
        <v>1000</v>
      </c>
      <c r="E304" s="1" t="s">
        <v>17</v>
      </c>
      <c r="F304" s="35">
        <v>2501</v>
      </c>
      <c r="G304" s="35">
        <v>5000</v>
      </c>
      <c r="H304" s="127">
        <v>5000</v>
      </c>
      <c r="I304" s="138">
        <v>3.5</v>
      </c>
      <c r="J304" s="137"/>
      <c r="K304" s="138">
        <v>600</v>
      </c>
      <c r="L304" s="130">
        <f>I304*(H304/K304)</f>
        <v>29.166666666666668</v>
      </c>
      <c r="M304" s="28">
        <f>+L304*$M$1</f>
        <v>939.16666666666674</v>
      </c>
      <c r="N304" s="162">
        <f>+M304/H304</f>
        <v>0.18783333333333335</v>
      </c>
      <c r="O304" s="131">
        <f t="shared" si="30"/>
        <v>187.83333333333334</v>
      </c>
      <c r="P304" s="130">
        <f t="shared" si="27"/>
        <v>0</v>
      </c>
    </row>
    <row r="305" spans="1:16" hidden="1" x14ac:dyDescent="0.25">
      <c r="A305" s="114" t="s">
        <v>269</v>
      </c>
      <c r="B305" s="114" t="s">
        <v>301</v>
      </c>
      <c r="C305" s="114">
        <v>151</v>
      </c>
      <c r="D305" s="114">
        <v>300</v>
      </c>
      <c r="E305" s="1" t="s">
        <v>266</v>
      </c>
      <c r="F305" s="35">
        <v>1001</v>
      </c>
      <c r="G305" s="35">
        <v>2500</v>
      </c>
      <c r="H305" s="127">
        <v>2500</v>
      </c>
      <c r="I305" s="138">
        <v>2.5</v>
      </c>
      <c r="J305" s="137"/>
      <c r="K305" s="138">
        <v>600</v>
      </c>
      <c r="L305" s="130">
        <f>I305*(H305/K305)</f>
        <v>10.416666666666668</v>
      </c>
      <c r="M305" s="28">
        <f>+L305*$M$1</f>
        <v>335.41666666666674</v>
      </c>
      <c r="N305" s="162">
        <f>+M305/H305</f>
        <v>0.13416666666666668</v>
      </c>
      <c r="O305" s="131">
        <f>+N305*1000</f>
        <v>134.16666666666669</v>
      </c>
      <c r="P305" s="130">
        <f t="shared" si="27"/>
        <v>0</v>
      </c>
    </row>
    <row r="306" spans="1:16" hidden="1" x14ac:dyDescent="0.25">
      <c r="A306" s="114" t="s">
        <v>269</v>
      </c>
      <c r="B306" s="114" t="s">
        <v>301</v>
      </c>
      <c r="C306" s="114">
        <v>151</v>
      </c>
      <c r="D306" s="114">
        <v>300</v>
      </c>
      <c r="E306" s="1" t="s">
        <v>17</v>
      </c>
      <c r="F306" s="35">
        <v>1001</v>
      </c>
      <c r="G306" s="35">
        <v>2500</v>
      </c>
      <c r="H306" s="127">
        <v>2500</v>
      </c>
      <c r="I306" s="138">
        <v>3.5</v>
      </c>
      <c r="J306" s="137"/>
      <c r="K306" s="138">
        <v>675</v>
      </c>
      <c r="L306" s="130">
        <f>I306*(H306/K306)</f>
        <v>12.962962962962964</v>
      </c>
      <c r="M306" s="28">
        <f>+L306*$M$1</f>
        <v>417.40740740740745</v>
      </c>
      <c r="N306" s="162">
        <f>+M306/H306</f>
        <v>0.16696296296296298</v>
      </c>
      <c r="O306" s="131">
        <f>+N306*1000</f>
        <v>166.96296296296299</v>
      </c>
      <c r="P306" s="130">
        <f t="shared" si="27"/>
        <v>0</v>
      </c>
    </row>
    <row r="307" spans="1:16" hidden="1" x14ac:dyDescent="0.25">
      <c r="A307" s="114" t="s">
        <v>269</v>
      </c>
      <c r="B307" s="114" t="s">
        <v>301</v>
      </c>
      <c r="C307" s="114">
        <v>151</v>
      </c>
      <c r="D307" s="114">
        <v>300</v>
      </c>
      <c r="E307" s="1" t="s">
        <v>50</v>
      </c>
      <c r="F307" s="35">
        <v>1001</v>
      </c>
      <c r="G307" s="35">
        <v>2500</v>
      </c>
      <c r="H307" s="127">
        <v>2500</v>
      </c>
      <c r="I307" s="138">
        <v>4.5</v>
      </c>
      <c r="J307" s="137"/>
      <c r="K307" s="138">
        <v>425</v>
      </c>
      <c r="L307" s="130">
        <f>I307*(H307/K307)</f>
        <v>26.47058823529412</v>
      </c>
      <c r="M307" s="28">
        <f>+L307*$M$1</f>
        <v>852.35294117647072</v>
      </c>
      <c r="N307" s="162">
        <f>+M307/H307</f>
        <v>0.3409411764705883</v>
      </c>
      <c r="O307" s="131">
        <f t="shared" ref="O307:O310" si="31">+N307*1000</f>
        <v>340.94117647058829</v>
      </c>
      <c r="P307" s="130">
        <f t="shared" si="27"/>
        <v>0</v>
      </c>
    </row>
    <row r="308" spans="1:16" hidden="1" x14ac:dyDescent="0.25">
      <c r="A308" s="114" t="s">
        <v>269</v>
      </c>
      <c r="B308" s="114" t="s">
        <v>301</v>
      </c>
      <c r="C308" s="114">
        <v>151</v>
      </c>
      <c r="D308" s="114">
        <v>300</v>
      </c>
      <c r="E308" s="1" t="s">
        <v>263</v>
      </c>
      <c r="F308" s="35">
        <v>2501</v>
      </c>
      <c r="G308" s="35">
        <v>5000</v>
      </c>
      <c r="H308" s="127">
        <v>5000</v>
      </c>
      <c r="I308" s="138">
        <v>1.5</v>
      </c>
      <c r="J308" s="137"/>
      <c r="K308" s="138">
        <v>800</v>
      </c>
      <c r="L308" s="130">
        <f>I308*(H308/K308)</f>
        <v>9.375</v>
      </c>
      <c r="M308" s="28">
        <f>+L308*$M$1</f>
        <v>301.875</v>
      </c>
      <c r="N308" s="162">
        <f>+M308/H308</f>
        <v>6.0374999999999998E-2</v>
      </c>
      <c r="O308" s="131">
        <f t="shared" si="31"/>
        <v>60.375</v>
      </c>
      <c r="P308" s="130">
        <f t="shared" si="27"/>
        <v>0</v>
      </c>
    </row>
    <row r="309" spans="1:16" hidden="1" x14ac:dyDescent="0.25">
      <c r="A309" s="114" t="s">
        <v>269</v>
      </c>
      <c r="B309" s="114" t="s">
        <v>301</v>
      </c>
      <c r="C309" s="114">
        <v>151</v>
      </c>
      <c r="D309" s="114">
        <v>300</v>
      </c>
      <c r="E309" s="1" t="s">
        <v>265</v>
      </c>
      <c r="F309" s="35">
        <v>2501</v>
      </c>
      <c r="G309" s="35">
        <v>5000</v>
      </c>
      <c r="H309" s="127">
        <v>5000</v>
      </c>
      <c r="I309" s="138">
        <v>1.5</v>
      </c>
      <c r="J309" s="137"/>
      <c r="K309" s="138">
        <v>700</v>
      </c>
      <c r="L309" s="130">
        <f>I309*(H309/K309)</f>
        <v>10.714285714285715</v>
      </c>
      <c r="M309" s="28">
        <f>+L309*$M$1</f>
        <v>345.00000000000006</v>
      </c>
      <c r="N309" s="162">
        <f>+M309/H309</f>
        <v>6.9000000000000006E-2</v>
      </c>
      <c r="O309" s="131">
        <f t="shared" si="31"/>
        <v>69</v>
      </c>
      <c r="P309" s="130">
        <f t="shared" si="27"/>
        <v>0</v>
      </c>
    </row>
    <row r="310" spans="1:16" hidden="1" x14ac:dyDescent="0.25">
      <c r="A310" s="114" t="s">
        <v>269</v>
      </c>
      <c r="B310" s="114" t="s">
        <v>301</v>
      </c>
      <c r="C310" s="114">
        <v>151</v>
      </c>
      <c r="D310" s="114">
        <v>300</v>
      </c>
      <c r="E310" s="1" t="s">
        <v>264</v>
      </c>
      <c r="F310" s="35">
        <v>2501</v>
      </c>
      <c r="G310" s="35">
        <v>5000</v>
      </c>
      <c r="H310" s="127">
        <v>5000</v>
      </c>
      <c r="I310" s="138">
        <v>2.5</v>
      </c>
      <c r="J310" s="137"/>
      <c r="K310" s="138">
        <v>900</v>
      </c>
      <c r="L310" s="130">
        <f>I310*(H310/K310)</f>
        <v>13.888888888888889</v>
      </c>
      <c r="M310" s="28">
        <f>+L310*$M$1</f>
        <v>447.22222222222229</v>
      </c>
      <c r="N310" s="162">
        <f>+M310/H310</f>
        <v>8.9444444444444451E-2</v>
      </c>
      <c r="O310" s="131">
        <f t="shared" si="31"/>
        <v>89.444444444444457</v>
      </c>
      <c r="P310" s="130">
        <f t="shared" si="27"/>
        <v>0</v>
      </c>
    </row>
    <row r="311" spans="1:16" x14ac:dyDescent="0.25">
      <c r="A311" s="114" t="s">
        <v>270</v>
      </c>
      <c r="B311" s="114" t="s">
        <v>301</v>
      </c>
      <c r="C311" s="114">
        <v>151</v>
      </c>
      <c r="D311" s="114">
        <v>300</v>
      </c>
      <c r="E311" s="1" t="s">
        <v>18</v>
      </c>
      <c r="F311" s="35">
        <v>501</v>
      </c>
      <c r="G311" s="35">
        <v>1000</v>
      </c>
      <c r="H311" s="127">
        <v>1000</v>
      </c>
      <c r="I311" s="138">
        <v>3.5</v>
      </c>
      <c r="J311" s="139">
        <v>3</v>
      </c>
      <c r="K311" s="136"/>
      <c r="L311">
        <f>+I311*J311</f>
        <v>10.5</v>
      </c>
      <c r="M311" s="28">
        <f>+L311*$M$1</f>
        <v>338.1</v>
      </c>
      <c r="N311" s="162">
        <f>+M311/H311</f>
        <v>0.33810000000000001</v>
      </c>
      <c r="O311" s="131">
        <f>+N311*1000</f>
        <v>338.1</v>
      </c>
      <c r="P311" s="130">
        <f t="shared" si="27"/>
        <v>0.375</v>
      </c>
    </row>
    <row r="312" spans="1:16" hidden="1" x14ac:dyDescent="0.25">
      <c r="A312" s="114" t="s">
        <v>269</v>
      </c>
      <c r="B312" s="114" t="s">
        <v>301</v>
      </c>
      <c r="C312" s="114">
        <v>151</v>
      </c>
      <c r="D312" s="114">
        <v>300</v>
      </c>
      <c r="E312" s="1" t="s">
        <v>266</v>
      </c>
      <c r="F312" s="35">
        <v>2501</v>
      </c>
      <c r="G312" s="35">
        <v>5000</v>
      </c>
      <c r="H312" s="127">
        <v>5000</v>
      </c>
      <c r="I312" s="138">
        <v>2.5</v>
      </c>
      <c r="J312" s="137"/>
      <c r="K312" s="138">
        <v>700</v>
      </c>
      <c r="L312" s="130">
        <f>I312*(H312/K312)</f>
        <v>17.857142857142858</v>
      </c>
      <c r="M312" s="28">
        <f>+L312*$M$1</f>
        <v>575.00000000000011</v>
      </c>
      <c r="N312" s="162">
        <f>+M312/H312</f>
        <v>0.11500000000000002</v>
      </c>
      <c r="O312" s="131">
        <f>+N312*1000</f>
        <v>115.00000000000001</v>
      </c>
      <c r="P312" s="130">
        <f t="shared" si="27"/>
        <v>0</v>
      </c>
    </row>
    <row r="313" spans="1:16" hidden="1" x14ac:dyDescent="0.25">
      <c r="A313" s="114" t="s">
        <v>269</v>
      </c>
      <c r="B313" s="114" t="s">
        <v>301</v>
      </c>
      <c r="C313" s="114">
        <v>151</v>
      </c>
      <c r="D313" s="114">
        <v>300</v>
      </c>
      <c r="E313" s="1" t="s">
        <v>18</v>
      </c>
      <c r="F313" s="35">
        <v>0</v>
      </c>
      <c r="G313" s="35">
        <v>500</v>
      </c>
      <c r="H313" s="127">
        <v>500</v>
      </c>
      <c r="I313" s="138">
        <v>3.5</v>
      </c>
      <c r="J313" s="138">
        <v>2.5</v>
      </c>
      <c r="K313" s="136"/>
      <c r="L313">
        <f>+I313*J313</f>
        <v>8.75</v>
      </c>
      <c r="M313" s="28">
        <f>+L313*$M$1</f>
        <v>281.75</v>
      </c>
      <c r="N313" s="162">
        <f>+M313/H313</f>
        <v>0.5635</v>
      </c>
      <c r="O313" s="131">
        <f t="shared" si="30"/>
        <v>563.5</v>
      </c>
      <c r="P313" s="130">
        <f t="shared" si="27"/>
        <v>0.3125</v>
      </c>
    </row>
    <row r="314" spans="1:16" hidden="1" x14ac:dyDescent="0.25">
      <c r="A314" s="114" t="s">
        <v>269</v>
      </c>
      <c r="B314" s="114" t="s">
        <v>301</v>
      </c>
      <c r="C314" s="114">
        <v>151</v>
      </c>
      <c r="D314" s="114">
        <v>300</v>
      </c>
      <c r="E314" s="1" t="s">
        <v>17</v>
      </c>
      <c r="F314" s="35">
        <v>2501</v>
      </c>
      <c r="G314" s="35">
        <v>5000</v>
      </c>
      <c r="H314" s="127">
        <v>5000</v>
      </c>
      <c r="I314" s="138">
        <v>3.5</v>
      </c>
      <c r="J314" s="137"/>
      <c r="K314" s="138">
        <v>725</v>
      </c>
      <c r="L314" s="130">
        <f>I314*(H314/K314)</f>
        <v>24.137931034482758</v>
      </c>
      <c r="M314" s="28">
        <f>+L314*$M$1</f>
        <v>777.24137931034488</v>
      </c>
      <c r="N314" s="162">
        <f>+M314/H314</f>
        <v>0.15544827586206897</v>
      </c>
      <c r="O314" s="131">
        <f t="shared" si="30"/>
        <v>155.44827586206898</v>
      </c>
      <c r="P314" s="130">
        <f t="shared" si="27"/>
        <v>0</v>
      </c>
    </row>
    <row r="315" spans="1:16" x14ac:dyDescent="0.25">
      <c r="A315" s="114" t="s">
        <v>270</v>
      </c>
      <c r="B315" s="114" t="s">
        <v>301</v>
      </c>
      <c r="C315" s="114">
        <v>151</v>
      </c>
      <c r="D315" s="114">
        <v>300</v>
      </c>
      <c r="E315" s="1" t="s">
        <v>18</v>
      </c>
      <c r="F315" s="35">
        <v>1001</v>
      </c>
      <c r="G315" s="35">
        <v>2500</v>
      </c>
      <c r="H315" s="127">
        <v>2500</v>
      </c>
      <c r="I315" s="138">
        <v>3.5</v>
      </c>
      <c r="J315" s="137"/>
      <c r="K315" s="138">
        <v>400</v>
      </c>
      <c r="L315" s="130">
        <f>I315*(H315/K315)</f>
        <v>21.875</v>
      </c>
      <c r="M315" s="28">
        <f>+L315*$M$1</f>
        <v>704.37500000000011</v>
      </c>
      <c r="N315" s="162">
        <f>+M315/H315</f>
        <v>0.28175000000000006</v>
      </c>
      <c r="O315" s="131">
        <f t="shared" si="30"/>
        <v>281.75000000000006</v>
      </c>
      <c r="P315" s="130">
        <f t="shared" si="27"/>
        <v>0</v>
      </c>
    </row>
    <row r="316" spans="1:16" hidden="1" x14ac:dyDescent="0.25">
      <c r="A316" s="114" t="s">
        <v>269</v>
      </c>
      <c r="B316" s="114" t="s">
        <v>301</v>
      </c>
      <c r="C316" s="114">
        <v>151</v>
      </c>
      <c r="D316" s="114">
        <v>300</v>
      </c>
      <c r="E316" s="1" t="s">
        <v>18</v>
      </c>
      <c r="F316" s="35">
        <v>501</v>
      </c>
      <c r="G316" s="35">
        <v>1000</v>
      </c>
      <c r="H316" s="127">
        <v>1000</v>
      </c>
      <c r="I316" s="138">
        <v>3.5</v>
      </c>
      <c r="J316" s="139">
        <v>3</v>
      </c>
      <c r="K316" s="136"/>
      <c r="L316">
        <f>+I316*J316</f>
        <v>10.5</v>
      </c>
      <c r="M316" s="28">
        <f>+L316*$M$1</f>
        <v>338.1</v>
      </c>
      <c r="N316" s="162">
        <f>+M316/H316</f>
        <v>0.33810000000000001</v>
      </c>
      <c r="O316" s="131">
        <f t="shared" si="30"/>
        <v>338.1</v>
      </c>
      <c r="P316" s="130">
        <f t="shared" si="27"/>
        <v>0.375</v>
      </c>
    </row>
    <row r="317" spans="1:16" x14ac:dyDescent="0.25">
      <c r="A317" s="114" t="s">
        <v>270</v>
      </c>
      <c r="B317" s="114" t="s">
        <v>301</v>
      </c>
      <c r="C317" s="114">
        <v>151</v>
      </c>
      <c r="D317" s="114">
        <v>300</v>
      </c>
      <c r="E317" s="1" t="s">
        <v>50</v>
      </c>
      <c r="F317" s="35">
        <v>2501</v>
      </c>
      <c r="G317" s="35">
        <v>5000</v>
      </c>
      <c r="H317" s="127">
        <v>5000</v>
      </c>
      <c r="I317" s="138">
        <v>4.5</v>
      </c>
      <c r="J317" s="137"/>
      <c r="K317" s="138">
        <v>500</v>
      </c>
      <c r="L317" s="130">
        <f>I317*(H317/K317)</f>
        <v>45</v>
      </c>
      <c r="M317" s="28">
        <f>+L317*$M$1</f>
        <v>1449.0000000000002</v>
      </c>
      <c r="N317" s="162">
        <f>+M317/H317</f>
        <v>0.28980000000000006</v>
      </c>
      <c r="O317" s="131">
        <f t="shared" si="30"/>
        <v>289.80000000000007</v>
      </c>
      <c r="P317" s="130">
        <f t="shared" si="27"/>
        <v>0</v>
      </c>
    </row>
    <row r="318" spans="1:16" hidden="1" x14ac:dyDescent="0.25">
      <c r="A318" s="114" t="s">
        <v>269</v>
      </c>
      <c r="B318" s="114" t="s">
        <v>301</v>
      </c>
      <c r="C318" s="114">
        <v>151</v>
      </c>
      <c r="D318" s="114">
        <v>300</v>
      </c>
      <c r="E318" s="1" t="s">
        <v>18</v>
      </c>
      <c r="F318" s="35">
        <v>1001</v>
      </c>
      <c r="G318" s="35">
        <v>2500</v>
      </c>
      <c r="H318" s="127">
        <v>2500</v>
      </c>
      <c r="I318" s="138">
        <v>3.5</v>
      </c>
      <c r="J318" s="137"/>
      <c r="K318" s="138">
        <v>425</v>
      </c>
      <c r="L318" s="130">
        <f>I318*(H318/K318)</f>
        <v>20.588235294117649</v>
      </c>
      <c r="M318" s="28">
        <f>+L318*$M$1</f>
        <v>662.94117647058829</v>
      </c>
      <c r="N318" s="162">
        <f>+M318/H318</f>
        <v>0.26517647058823529</v>
      </c>
      <c r="O318" s="131">
        <f t="shared" si="30"/>
        <v>265.1764705882353</v>
      </c>
      <c r="P318" s="130">
        <f t="shared" si="27"/>
        <v>0</v>
      </c>
    </row>
    <row r="319" spans="1:16" x14ac:dyDescent="0.25">
      <c r="A319" s="114" t="s">
        <v>270</v>
      </c>
      <c r="B319" s="114" t="s">
        <v>301</v>
      </c>
      <c r="C319" s="114">
        <v>151</v>
      </c>
      <c r="D319" s="114">
        <v>300</v>
      </c>
      <c r="E319" s="1" t="s">
        <v>18</v>
      </c>
      <c r="F319" s="35">
        <v>2501</v>
      </c>
      <c r="G319" s="35">
        <v>5000</v>
      </c>
      <c r="H319" s="127">
        <v>5000</v>
      </c>
      <c r="I319" s="138">
        <v>3.5</v>
      </c>
      <c r="J319" s="137"/>
      <c r="K319" s="138">
        <v>500</v>
      </c>
      <c r="L319" s="130">
        <f>I319*(H319/K319)</f>
        <v>35</v>
      </c>
      <c r="M319" s="28">
        <f>+L319*$M$1</f>
        <v>1127</v>
      </c>
      <c r="N319" s="162">
        <f>+M319/H319</f>
        <v>0.22539999999999999</v>
      </c>
      <c r="O319" s="131">
        <f t="shared" si="30"/>
        <v>225.39999999999998</v>
      </c>
      <c r="P319" s="130">
        <f t="shared" si="27"/>
        <v>0</v>
      </c>
    </row>
    <row r="320" spans="1:16" hidden="1" x14ac:dyDescent="0.25">
      <c r="A320" s="114" t="s">
        <v>269</v>
      </c>
      <c r="B320" s="114" t="s">
        <v>301</v>
      </c>
      <c r="C320" s="114">
        <v>151</v>
      </c>
      <c r="D320" s="114">
        <v>300</v>
      </c>
      <c r="E320" s="1" t="s">
        <v>50</v>
      </c>
      <c r="F320" s="35">
        <v>2501</v>
      </c>
      <c r="G320" s="35">
        <v>5000</v>
      </c>
      <c r="H320" s="127">
        <v>5000</v>
      </c>
      <c r="I320" s="138">
        <v>4.5</v>
      </c>
      <c r="J320" s="137"/>
      <c r="K320" s="138">
        <v>525</v>
      </c>
      <c r="L320" s="130">
        <f>I320*(H320/K320)</f>
        <v>42.857142857142854</v>
      </c>
      <c r="M320" s="28">
        <f>+L320*$M$1</f>
        <v>1380</v>
      </c>
      <c r="N320" s="162">
        <f>+M320/H320</f>
        <v>0.27600000000000002</v>
      </c>
      <c r="O320" s="131">
        <f t="shared" si="30"/>
        <v>276</v>
      </c>
      <c r="P320" s="130">
        <f t="shared" si="27"/>
        <v>0</v>
      </c>
    </row>
    <row r="321" spans="1:16" hidden="1" x14ac:dyDescent="0.25">
      <c r="A321" s="114" t="s">
        <v>269</v>
      </c>
      <c r="B321" s="114" t="s">
        <v>301</v>
      </c>
      <c r="C321" s="114">
        <v>151</v>
      </c>
      <c r="D321" s="114">
        <v>300</v>
      </c>
      <c r="E321" s="1" t="s">
        <v>18</v>
      </c>
      <c r="F321" s="35">
        <v>2501</v>
      </c>
      <c r="G321" s="35">
        <v>5000</v>
      </c>
      <c r="H321" s="127">
        <v>5000</v>
      </c>
      <c r="I321" s="138">
        <v>3.5</v>
      </c>
      <c r="J321" s="137"/>
      <c r="K321" s="138">
        <v>525</v>
      </c>
      <c r="L321" s="130">
        <f>I321*(H321/K321)</f>
        <v>33.333333333333336</v>
      </c>
      <c r="M321" s="28">
        <f>+L321*$M$1</f>
        <v>1073.3333333333335</v>
      </c>
      <c r="N321" s="162">
        <f>+M321/H321</f>
        <v>0.2146666666666667</v>
      </c>
      <c r="O321" s="131">
        <f t="shared" si="30"/>
        <v>214.66666666666671</v>
      </c>
      <c r="P321" s="130">
        <f t="shared" si="27"/>
        <v>0</v>
      </c>
    </row>
    <row r="322" spans="1:16" hidden="1" x14ac:dyDescent="0.25">
      <c r="A322" s="114" t="s">
        <v>269</v>
      </c>
      <c r="B322" s="114" t="s">
        <v>301</v>
      </c>
      <c r="C322" s="114">
        <v>151</v>
      </c>
      <c r="D322" s="114">
        <v>300</v>
      </c>
      <c r="E322" s="1" t="s">
        <v>18</v>
      </c>
      <c r="F322" s="35">
        <v>5001</v>
      </c>
      <c r="G322" s="35">
        <v>25000</v>
      </c>
      <c r="H322" s="127">
        <v>25000</v>
      </c>
      <c r="I322" s="138">
        <v>3.5</v>
      </c>
      <c r="J322" s="137"/>
      <c r="K322" s="138">
        <v>625</v>
      </c>
      <c r="L322" s="130">
        <f>I322*(H322/K322)</f>
        <v>140</v>
      </c>
      <c r="M322" s="28">
        <f>+L322*$M$1</f>
        <v>4508</v>
      </c>
      <c r="N322" s="162">
        <f>+M322/H322</f>
        <v>0.18032000000000001</v>
      </c>
      <c r="O322" s="131">
        <f t="shared" si="30"/>
        <v>180.32000000000002</v>
      </c>
      <c r="P322" s="130">
        <f t="shared" si="27"/>
        <v>0</v>
      </c>
    </row>
    <row r="323" spans="1:16" hidden="1" x14ac:dyDescent="0.25">
      <c r="A323" s="114" t="s">
        <v>269</v>
      </c>
      <c r="B323" s="114" t="s">
        <v>301</v>
      </c>
      <c r="C323" s="114">
        <v>151</v>
      </c>
      <c r="D323" s="114">
        <v>300</v>
      </c>
      <c r="E323" s="1" t="s">
        <v>263</v>
      </c>
      <c r="F323" s="35">
        <v>5001</v>
      </c>
      <c r="G323" s="35">
        <v>25000</v>
      </c>
      <c r="H323" s="127">
        <v>25000</v>
      </c>
      <c r="I323" s="138">
        <v>1.5</v>
      </c>
      <c r="J323" s="137"/>
      <c r="K323" s="138">
        <v>1100</v>
      </c>
      <c r="L323" s="130">
        <f>I323*(H323/K323)</f>
        <v>34.090909090909093</v>
      </c>
      <c r="M323" s="28">
        <f>+L323*$M$1</f>
        <v>1097.727272727273</v>
      </c>
      <c r="N323" s="162">
        <f>+M323/H323</f>
        <v>4.3909090909090918E-2</v>
      </c>
      <c r="O323" s="131">
        <f t="shared" si="30"/>
        <v>43.909090909090921</v>
      </c>
      <c r="P323" s="130">
        <f t="shared" si="27"/>
        <v>0</v>
      </c>
    </row>
    <row r="324" spans="1:16" x14ac:dyDescent="0.25">
      <c r="A324" s="114" t="s">
        <v>270</v>
      </c>
      <c r="B324" s="114" t="s">
        <v>301</v>
      </c>
      <c r="C324" s="114">
        <v>301</v>
      </c>
      <c r="D324" s="114">
        <v>500</v>
      </c>
      <c r="E324" s="1" t="s">
        <v>50</v>
      </c>
      <c r="F324" s="35">
        <v>2501</v>
      </c>
      <c r="G324" s="35">
        <v>5000</v>
      </c>
      <c r="H324" s="127">
        <v>5000</v>
      </c>
      <c r="I324" s="138">
        <v>4.5</v>
      </c>
      <c r="J324" s="137"/>
      <c r="K324" s="138">
        <v>500</v>
      </c>
      <c r="L324" s="130">
        <f>I324*(H324/K324)</f>
        <v>45</v>
      </c>
      <c r="M324" s="28">
        <f>+L324*$M$1</f>
        <v>1449.0000000000002</v>
      </c>
      <c r="N324" s="162">
        <f>+M324/H324</f>
        <v>0.28980000000000006</v>
      </c>
      <c r="O324" s="131">
        <f t="shared" si="30"/>
        <v>289.80000000000007</v>
      </c>
      <c r="P324" s="130">
        <f t="shared" si="27"/>
        <v>0</v>
      </c>
    </row>
    <row r="325" spans="1:16" hidden="1" x14ac:dyDescent="0.25">
      <c r="A325" s="114" t="s">
        <v>269</v>
      </c>
      <c r="B325" s="114" t="s">
        <v>301</v>
      </c>
      <c r="C325" s="114">
        <v>151</v>
      </c>
      <c r="D325" s="114">
        <v>300</v>
      </c>
      <c r="E325" s="1" t="s">
        <v>265</v>
      </c>
      <c r="F325" s="35">
        <v>5001</v>
      </c>
      <c r="G325" s="35">
        <v>25000</v>
      </c>
      <c r="H325" s="127">
        <v>25000</v>
      </c>
      <c r="I325" s="138">
        <v>1.5</v>
      </c>
      <c r="J325" s="137"/>
      <c r="K325" s="138">
        <v>1000</v>
      </c>
      <c r="L325" s="130">
        <f>I325*(H325/K325)</f>
        <v>37.5</v>
      </c>
      <c r="M325" s="28">
        <f>+L325*$M$1</f>
        <v>1207.5</v>
      </c>
      <c r="N325" s="162">
        <f>+M325/H325</f>
        <v>4.8300000000000003E-2</v>
      </c>
      <c r="O325" s="131">
        <f t="shared" si="30"/>
        <v>48.300000000000004</v>
      </c>
      <c r="P325" s="130">
        <f t="shared" si="27"/>
        <v>0</v>
      </c>
    </row>
    <row r="326" spans="1:16" x14ac:dyDescent="0.25">
      <c r="A326" s="114" t="s">
        <v>270</v>
      </c>
      <c r="B326" s="114" t="s">
        <v>301</v>
      </c>
      <c r="C326" s="114">
        <v>151</v>
      </c>
      <c r="D326" s="114">
        <v>300</v>
      </c>
      <c r="E326" s="1" t="s">
        <v>18</v>
      </c>
      <c r="F326" s="35">
        <v>5001</v>
      </c>
      <c r="G326" s="35">
        <v>25000</v>
      </c>
      <c r="H326" s="127">
        <v>25000</v>
      </c>
      <c r="I326" s="138">
        <v>3.5</v>
      </c>
      <c r="J326" s="137"/>
      <c r="K326" s="138">
        <v>550</v>
      </c>
      <c r="L326" s="130">
        <f>I326*(H326/K326)</f>
        <v>159.09090909090909</v>
      </c>
      <c r="M326" s="28">
        <f>+L326*$M$1</f>
        <v>5122.727272727273</v>
      </c>
      <c r="N326" s="162">
        <f>+M326/H326</f>
        <v>0.20490909090909093</v>
      </c>
      <c r="O326" s="131">
        <f t="shared" si="30"/>
        <v>204.90909090909093</v>
      </c>
      <c r="P326" s="130">
        <f t="shared" si="27"/>
        <v>0</v>
      </c>
    </row>
    <row r="327" spans="1:16" hidden="1" x14ac:dyDescent="0.25">
      <c r="A327" s="114" t="s">
        <v>269</v>
      </c>
      <c r="B327" s="114" t="s">
        <v>301</v>
      </c>
      <c r="C327" s="114">
        <v>151</v>
      </c>
      <c r="D327" s="114">
        <v>300</v>
      </c>
      <c r="E327" s="1" t="s">
        <v>264</v>
      </c>
      <c r="F327" s="35">
        <v>5001</v>
      </c>
      <c r="G327" s="35">
        <v>25000</v>
      </c>
      <c r="H327" s="127">
        <v>25000</v>
      </c>
      <c r="I327" s="138">
        <v>2.5</v>
      </c>
      <c r="J327" s="137"/>
      <c r="K327" s="138">
        <v>1100</v>
      </c>
      <c r="L327" s="130">
        <f>I327*(H327/K327)</f>
        <v>56.818181818181813</v>
      </c>
      <c r="M327" s="28">
        <f>+L327*$M$1</f>
        <v>1829.5454545454545</v>
      </c>
      <c r="N327" s="162">
        <f>+M327/H327</f>
        <v>7.3181818181818181E-2</v>
      </c>
      <c r="O327" s="131">
        <f t="shared" si="30"/>
        <v>73.181818181818187</v>
      </c>
      <c r="P327" s="130">
        <f t="shared" si="27"/>
        <v>0</v>
      </c>
    </row>
    <row r="328" spans="1:16" x14ac:dyDescent="0.25">
      <c r="A328" s="114" t="s">
        <v>270</v>
      </c>
      <c r="B328" s="114" t="s">
        <v>301</v>
      </c>
      <c r="C328" s="114">
        <v>501</v>
      </c>
      <c r="D328" s="114">
        <v>1000</v>
      </c>
      <c r="E328" s="1" t="s">
        <v>50</v>
      </c>
      <c r="F328" s="35">
        <v>2501</v>
      </c>
      <c r="G328" s="35">
        <v>5000</v>
      </c>
      <c r="H328" s="127">
        <v>5000</v>
      </c>
      <c r="I328" s="138">
        <v>4.5</v>
      </c>
      <c r="J328" s="137"/>
      <c r="K328" s="138">
        <v>500</v>
      </c>
      <c r="L328" s="130">
        <f>I328*(H328/K328)</f>
        <v>45</v>
      </c>
      <c r="M328" s="28">
        <f>+L328*$M$1</f>
        <v>1449.0000000000002</v>
      </c>
      <c r="N328" s="162">
        <f>+M328/H328</f>
        <v>0.28980000000000006</v>
      </c>
      <c r="O328" s="131">
        <f t="shared" si="30"/>
        <v>289.80000000000007</v>
      </c>
      <c r="P328" s="130">
        <f t="shared" si="27"/>
        <v>0</v>
      </c>
    </row>
    <row r="329" spans="1:16" hidden="1" x14ac:dyDescent="0.25">
      <c r="A329" s="114" t="s">
        <v>269</v>
      </c>
      <c r="B329" s="114" t="s">
        <v>301</v>
      </c>
      <c r="C329" s="114">
        <v>151</v>
      </c>
      <c r="D329" s="114">
        <v>300</v>
      </c>
      <c r="E329" s="1" t="s">
        <v>266</v>
      </c>
      <c r="F329" s="35">
        <v>5001</v>
      </c>
      <c r="G329" s="35">
        <v>25000</v>
      </c>
      <c r="H329" s="127">
        <v>25000</v>
      </c>
      <c r="I329" s="138">
        <v>2.5</v>
      </c>
      <c r="J329" s="137"/>
      <c r="K329" s="138">
        <v>1000</v>
      </c>
      <c r="L329" s="130">
        <f>I329*(H329/K329)</f>
        <v>62.5</v>
      </c>
      <c r="M329" s="28">
        <f>+L329*$M$1</f>
        <v>2012.5000000000002</v>
      </c>
      <c r="N329" s="162">
        <f>+M329/H329</f>
        <v>8.0500000000000016E-2</v>
      </c>
      <c r="O329" s="131">
        <f t="shared" si="30"/>
        <v>80.500000000000014</v>
      </c>
      <c r="P329" s="130">
        <f t="shared" si="27"/>
        <v>0</v>
      </c>
    </row>
    <row r="330" spans="1:16" x14ac:dyDescent="0.25">
      <c r="A330" s="114" t="s">
        <v>270</v>
      </c>
      <c r="B330" s="114" t="s">
        <v>301</v>
      </c>
      <c r="C330" s="114">
        <v>301</v>
      </c>
      <c r="D330" s="114">
        <v>500</v>
      </c>
      <c r="E330" s="1" t="s">
        <v>18</v>
      </c>
      <c r="F330" s="35">
        <v>0</v>
      </c>
      <c r="G330" s="35">
        <v>500</v>
      </c>
      <c r="H330" s="127">
        <v>500</v>
      </c>
      <c r="I330" s="138">
        <v>3.5</v>
      </c>
      <c r="J330" s="138">
        <v>2.5</v>
      </c>
      <c r="K330" s="136"/>
      <c r="L330">
        <f>+I330*J330</f>
        <v>8.75</v>
      </c>
      <c r="M330" s="28">
        <f>+L330*$M$1</f>
        <v>281.75</v>
      </c>
      <c r="N330" s="162">
        <f>+M330/H330</f>
        <v>0.5635</v>
      </c>
      <c r="O330" s="131">
        <f t="shared" si="30"/>
        <v>563.5</v>
      </c>
      <c r="P330" s="130">
        <f t="shared" si="27"/>
        <v>0.3125</v>
      </c>
    </row>
    <row r="331" spans="1:16" hidden="1" x14ac:dyDescent="0.25">
      <c r="A331" s="114" t="s">
        <v>269</v>
      </c>
      <c r="B331" s="114" t="s">
        <v>301</v>
      </c>
      <c r="C331" s="114">
        <v>151</v>
      </c>
      <c r="D331" s="114">
        <v>300</v>
      </c>
      <c r="E331" s="1" t="s">
        <v>17</v>
      </c>
      <c r="F331" s="35">
        <v>5001</v>
      </c>
      <c r="G331" s="35">
        <v>25000</v>
      </c>
      <c r="H331" s="127">
        <v>25000</v>
      </c>
      <c r="I331" s="138">
        <v>3.5</v>
      </c>
      <c r="J331" s="137"/>
      <c r="K331" s="138">
        <v>775</v>
      </c>
      <c r="L331" s="130">
        <f>I331*(H331/K331)</f>
        <v>112.90322580645162</v>
      </c>
      <c r="M331" s="28">
        <f>+L331*$M$1</f>
        <v>3635.4838709677424</v>
      </c>
      <c r="N331" s="162">
        <f>+M331/H331</f>
        <v>0.14541935483870969</v>
      </c>
      <c r="O331" s="131">
        <f t="shared" si="30"/>
        <v>145.41935483870969</v>
      </c>
      <c r="P331" s="130">
        <f t="shared" si="27"/>
        <v>0</v>
      </c>
    </row>
    <row r="332" spans="1:16" hidden="1" x14ac:dyDescent="0.25">
      <c r="A332" s="114" t="s">
        <v>269</v>
      </c>
      <c r="B332" s="114" t="s">
        <v>301</v>
      </c>
      <c r="C332" s="114">
        <v>151</v>
      </c>
      <c r="D332" s="114">
        <v>300</v>
      </c>
      <c r="E332" s="1" t="s">
        <v>50</v>
      </c>
      <c r="F332" s="35">
        <v>5001</v>
      </c>
      <c r="G332" s="35">
        <v>25000</v>
      </c>
      <c r="H332" s="127">
        <v>25000</v>
      </c>
      <c r="I332" s="138">
        <v>4.5</v>
      </c>
      <c r="J332" s="137"/>
      <c r="K332" s="138">
        <v>625</v>
      </c>
      <c r="L332" s="130">
        <f>I332*(H332/K332)</f>
        <v>180</v>
      </c>
      <c r="M332" s="28">
        <f>+L332*$M$1</f>
        <v>5796.0000000000009</v>
      </c>
      <c r="N332" s="162">
        <f>+M332/H332</f>
        <v>0.23184000000000005</v>
      </c>
      <c r="O332" s="131">
        <f t="shared" si="30"/>
        <v>231.84000000000003</v>
      </c>
      <c r="P332" s="130">
        <f t="shared" si="27"/>
        <v>0</v>
      </c>
    </row>
    <row r="333" spans="1:16" hidden="1" x14ac:dyDescent="0.25">
      <c r="A333" s="114" t="s">
        <v>269</v>
      </c>
      <c r="B333" s="114" t="s">
        <v>301</v>
      </c>
      <c r="C333" s="114">
        <v>301</v>
      </c>
      <c r="D333" s="114">
        <v>500</v>
      </c>
      <c r="E333" s="1" t="s">
        <v>263</v>
      </c>
      <c r="F333" s="35">
        <v>0</v>
      </c>
      <c r="G333" s="35">
        <v>500</v>
      </c>
      <c r="H333" s="127">
        <v>500</v>
      </c>
      <c r="I333" s="138">
        <v>1.5</v>
      </c>
      <c r="J333" s="138">
        <v>2</v>
      </c>
      <c r="K333" s="136"/>
      <c r="L333" s="130">
        <f>+I333*J333</f>
        <v>3</v>
      </c>
      <c r="M333" s="28">
        <f>+L333*$M$1</f>
        <v>96.600000000000009</v>
      </c>
      <c r="N333" s="162">
        <f>+M333/H333</f>
        <v>0.19320000000000001</v>
      </c>
      <c r="O333" s="131">
        <f t="shared" si="30"/>
        <v>193.20000000000002</v>
      </c>
      <c r="P333" s="130">
        <f t="shared" si="27"/>
        <v>0.25</v>
      </c>
    </row>
    <row r="334" spans="1:16" hidden="1" x14ac:dyDescent="0.25">
      <c r="A334" s="114" t="s">
        <v>269</v>
      </c>
      <c r="B334" s="114" t="s">
        <v>301</v>
      </c>
      <c r="C334" s="114">
        <v>301</v>
      </c>
      <c r="D334" s="114">
        <v>500</v>
      </c>
      <c r="E334" s="1" t="s">
        <v>265</v>
      </c>
      <c r="F334" s="35">
        <v>0</v>
      </c>
      <c r="G334" s="35">
        <v>500</v>
      </c>
      <c r="H334" s="127">
        <v>500</v>
      </c>
      <c r="I334" s="138">
        <v>1.5</v>
      </c>
      <c r="J334" s="138">
        <v>2</v>
      </c>
      <c r="K334" s="136"/>
      <c r="L334" s="130">
        <f>+I334*J334</f>
        <v>3</v>
      </c>
      <c r="M334" s="28">
        <f>+L334*$M$1</f>
        <v>96.600000000000009</v>
      </c>
      <c r="N334" s="162">
        <f>+M334/H334</f>
        <v>0.19320000000000001</v>
      </c>
      <c r="O334" s="131">
        <f t="shared" si="30"/>
        <v>193.20000000000002</v>
      </c>
      <c r="P334" s="130">
        <f t="shared" si="27"/>
        <v>0.25</v>
      </c>
    </row>
    <row r="335" spans="1:16" x14ac:dyDescent="0.25">
      <c r="A335" s="114" t="s">
        <v>270</v>
      </c>
      <c r="B335" s="114" t="s">
        <v>301</v>
      </c>
      <c r="C335" s="114">
        <v>301</v>
      </c>
      <c r="D335" s="114">
        <v>500</v>
      </c>
      <c r="E335" s="1" t="s">
        <v>18</v>
      </c>
      <c r="F335" s="35">
        <v>501</v>
      </c>
      <c r="G335" s="35">
        <v>1000</v>
      </c>
      <c r="H335" s="127">
        <v>1000</v>
      </c>
      <c r="I335" s="138">
        <v>3.5</v>
      </c>
      <c r="J335" s="139">
        <v>3</v>
      </c>
      <c r="K335" s="136"/>
      <c r="L335">
        <f>+I335*J335</f>
        <v>10.5</v>
      </c>
      <c r="M335" s="28">
        <f>+L335*$M$1</f>
        <v>338.1</v>
      </c>
      <c r="N335" s="162">
        <f>+M335/H335</f>
        <v>0.33810000000000001</v>
      </c>
      <c r="O335" s="131">
        <f t="shared" si="30"/>
        <v>338.1</v>
      </c>
      <c r="P335" s="130">
        <f t="shared" ref="P335:P398" si="32">+J335/8</f>
        <v>0.375</v>
      </c>
    </row>
    <row r="336" spans="1:16" hidden="1" x14ac:dyDescent="0.25">
      <c r="A336" s="114" t="s">
        <v>269</v>
      </c>
      <c r="B336" s="114" t="s">
        <v>301</v>
      </c>
      <c r="C336" s="114">
        <v>301</v>
      </c>
      <c r="D336" s="114">
        <v>500</v>
      </c>
      <c r="E336" s="1" t="s">
        <v>264</v>
      </c>
      <c r="F336" s="35">
        <v>0</v>
      </c>
      <c r="G336" s="35">
        <v>500</v>
      </c>
      <c r="H336" s="127">
        <v>500</v>
      </c>
      <c r="I336" s="138">
        <v>2.5</v>
      </c>
      <c r="J336" s="138">
        <v>2</v>
      </c>
      <c r="K336" s="136"/>
      <c r="L336" s="130">
        <f>+I336*J336</f>
        <v>5</v>
      </c>
      <c r="M336" s="28">
        <f>+L336*$M$1</f>
        <v>161</v>
      </c>
      <c r="N336" s="162">
        <f>+M336/H336</f>
        <v>0.32200000000000001</v>
      </c>
      <c r="O336" s="131">
        <f t="shared" si="30"/>
        <v>322</v>
      </c>
      <c r="P336" s="130">
        <f t="shared" si="32"/>
        <v>0.25</v>
      </c>
    </row>
    <row r="337" spans="1:16" hidden="1" x14ac:dyDescent="0.25">
      <c r="A337" s="114" t="s">
        <v>269</v>
      </c>
      <c r="B337" s="114" t="s">
        <v>301</v>
      </c>
      <c r="C337" s="114">
        <v>301</v>
      </c>
      <c r="D337" s="114">
        <v>500</v>
      </c>
      <c r="E337" s="1" t="s">
        <v>266</v>
      </c>
      <c r="F337" s="35">
        <v>0</v>
      </c>
      <c r="G337" s="35">
        <v>500</v>
      </c>
      <c r="H337" s="127">
        <v>500</v>
      </c>
      <c r="I337" s="138">
        <v>2.5</v>
      </c>
      <c r="J337" s="138">
        <v>2</v>
      </c>
      <c r="K337" s="136"/>
      <c r="L337" s="130">
        <f>+I337*J337</f>
        <v>5</v>
      </c>
      <c r="M337" s="28">
        <f>+L337*$M$1</f>
        <v>161</v>
      </c>
      <c r="N337" s="162">
        <f>+M337/H337</f>
        <v>0.32200000000000001</v>
      </c>
      <c r="O337" s="131">
        <f t="shared" si="30"/>
        <v>322</v>
      </c>
      <c r="P337" s="130">
        <f t="shared" si="32"/>
        <v>0.25</v>
      </c>
    </row>
    <row r="338" spans="1:16" hidden="1" x14ac:dyDescent="0.25">
      <c r="A338" s="114" t="s">
        <v>269</v>
      </c>
      <c r="B338" s="114" t="s">
        <v>301</v>
      </c>
      <c r="C338" s="114">
        <v>301</v>
      </c>
      <c r="D338" s="114">
        <v>500</v>
      </c>
      <c r="E338" s="1" t="s">
        <v>17</v>
      </c>
      <c r="F338" s="35">
        <v>0</v>
      </c>
      <c r="G338" s="35">
        <v>500</v>
      </c>
      <c r="H338" s="127">
        <v>500</v>
      </c>
      <c r="I338" s="138">
        <v>3.5</v>
      </c>
      <c r="J338" s="138">
        <v>1.5</v>
      </c>
      <c r="K338" s="136"/>
      <c r="L338" s="130">
        <f>+I338*J338</f>
        <v>5.25</v>
      </c>
      <c r="M338" s="28">
        <f>+L338*$M$1</f>
        <v>169.05</v>
      </c>
      <c r="N338" s="162">
        <f>+M338/H338</f>
        <v>0.33810000000000001</v>
      </c>
      <c r="O338" s="131">
        <f t="shared" si="30"/>
        <v>338.1</v>
      </c>
      <c r="P338" s="130">
        <f t="shared" si="32"/>
        <v>0.1875</v>
      </c>
    </row>
    <row r="339" spans="1:16" hidden="1" x14ac:dyDescent="0.25">
      <c r="A339" s="114" t="s">
        <v>269</v>
      </c>
      <c r="B339" s="114" t="s">
        <v>301</v>
      </c>
      <c r="C339" s="114">
        <v>301</v>
      </c>
      <c r="D339" s="114">
        <v>500</v>
      </c>
      <c r="E339" s="1" t="s">
        <v>50</v>
      </c>
      <c r="F339" s="35">
        <v>0</v>
      </c>
      <c r="G339" s="35">
        <v>500</v>
      </c>
      <c r="H339" s="127">
        <v>500</v>
      </c>
      <c r="I339" s="138">
        <v>4.5</v>
      </c>
      <c r="J339" s="138">
        <v>2.5</v>
      </c>
      <c r="K339" s="136"/>
      <c r="L339" s="130">
        <f>+I339*J339</f>
        <v>11.25</v>
      </c>
      <c r="M339" s="28">
        <f>+L339*$M$1</f>
        <v>362.25000000000006</v>
      </c>
      <c r="N339" s="162">
        <f>+M339/H339</f>
        <v>0.72450000000000014</v>
      </c>
      <c r="O339" s="131">
        <f t="shared" si="30"/>
        <v>724.50000000000011</v>
      </c>
      <c r="P339" s="130">
        <f t="shared" si="32"/>
        <v>0.3125</v>
      </c>
    </row>
    <row r="340" spans="1:16" x14ac:dyDescent="0.25">
      <c r="A340" s="114" t="s">
        <v>270</v>
      </c>
      <c r="B340" s="114" t="s">
        <v>301</v>
      </c>
      <c r="C340" s="114">
        <v>301</v>
      </c>
      <c r="D340" s="114">
        <v>500</v>
      </c>
      <c r="E340" s="1" t="s">
        <v>18</v>
      </c>
      <c r="F340" s="35">
        <v>1001</v>
      </c>
      <c r="G340" s="35">
        <v>2500</v>
      </c>
      <c r="H340" s="127">
        <v>2500</v>
      </c>
      <c r="I340" s="138">
        <v>3.5</v>
      </c>
      <c r="J340" s="137"/>
      <c r="K340" s="138">
        <v>400</v>
      </c>
      <c r="L340" s="130">
        <f>I340*(H340/K340)</f>
        <v>21.875</v>
      </c>
      <c r="M340" s="28">
        <f>+L340*$M$1</f>
        <v>704.37500000000011</v>
      </c>
      <c r="N340" s="162">
        <f>+M340/H340</f>
        <v>0.28175000000000006</v>
      </c>
      <c r="O340" s="131">
        <f t="shared" si="30"/>
        <v>281.75000000000006</v>
      </c>
      <c r="P340" s="130">
        <f t="shared" si="32"/>
        <v>0</v>
      </c>
    </row>
    <row r="341" spans="1:16" hidden="1" x14ac:dyDescent="0.25">
      <c r="A341" s="114" t="s">
        <v>269</v>
      </c>
      <c r="B341" s="114" t="s">
        <v>301</v>
      </c>
      <c r="C341" s="114">
        <v>301</v>
      </c>
      <c r="D341" s="114">
        <v>500</v>
      </c>
      <c r="E341" s="1" t="s">
        <v>263</v>
      </c>
      <c r="F341" s="35">
        <v>501</v>
      </c>
      <c r="G341" s="35">
        <v>1000</v>
      </c>
      <c r="H341" s="127">
        <v>1000</v>
      </c>
      <c r="I341" s="138">
        <v>1.5</v>
      </c>
      <c r="J341" s="138">
        <v>2.5</v>
      </c>
      <c r="K341" s="136"/>
      <c r="L341" s="130">
        <f>+I341*J341</f>
        <v>3.75</v>
      </c>
      <c r="M341" s="28">
        <f>+L341*$M$1</f>
        <v>120.75000000000001</v>
      </c>
      <c r="N341" s="162">
        <f>+M341/H341</f>
        <v>0.12075000000000001</v>
      </c>
      <c r="O341" s="131">
        <f t="shared" si="30"/>
        <v>120.75000000000001</v>
      </c>
      <c r="P341" s="130">
        <f t="shared" si="32"/>
        <v>0.3125</v>
      </c>
    </row>
    <row r="342" spans="1:16" hidden="1" x14ac:dyDescent="0.25">
      <c r="A342" s="114" t="s">
        <v>269</v>
      </c>
      <c r="B342" s="114" t="s">
        <v>301</v>
      </c>
      <c r="C342" s="114">
        <v>301</v>
      </c>
      <c r="D342" s="114">
        <v>500</v>
      </c>
      <c r="E342" s="1" t="s">
        <v>265</v>
      </c>
      <c r="F342" s="35">
        <v>501</v>
      </c>
      <c r="G342" s="35">
        <v>1000</v>
      </c>
      <c r="H342" s="127">
        <v>1000</v>
      </c>
      <c r="I342" s="138">
        <v>1.5</v>
      </c>
      <c r="J342" s="138">
        <v>3</v>
      </c>
      <c r="K342" s="136"/>
      <c r="L342" s="130">
        <f>+I342*J342</f>
        <v>4.5</v>
      </c>
      <c r="M342" s="28">
        <f>+L342*$M$1</f>
        <v>144.9</v>
      </c>
      <c r="N342" s="162">
        <f>+M342/H342</f>
        <v>0.1449</v>
      </c>
      <c r="O342" s="131">
        <f t="shared" si="30"/>
        <v>144.9</v>
      </c>
      <c r="P342" s="130">
        <f t="shared" si="32"/>
        <v>0.375</v>
      </c>
    </row>
    <row r="343" spans="1:16" x14ac:dyDescent="0.25">
      <c r="A343" s="114" t="s">
        <v>270</v>
      </c>
      <c r="B343" s="114" t="s">
        <v>301</v>
      </c>
      <c r="C343" s="114">
        <v>301</v>
      </c>
      <c r="D343" s="114">
        <v>500</v>
      </c>
      <c r="E343" s="1" t="s">
        <v>18</v>
      </c>
      <c r="F343" s="35">
        <v>2501</v>
      </c>
      <c r="G343" s="35">
        <v>5000</v>
      </c>
      <c r="H343" s="127">
        <v>5000</v>
      </c>
      <c r="I343" s="138">
        <v>3.5</v>
      </c>
      <c r="J343" s="137"/>
      <c r="K343" s="138">
        <v>500</v>
      </c>
      <c r="L343" s="130">
        <f>I343*(H343/K343)</f>
        <v>35</v>
      </c>
      <c r="M343" s="28">
        <f>+L343*$M$1</f>
        <v>1127</v>
      </c>
      <c r="N343" s="162">
        <f>+M343/H343</f>
        <v>0.22539999999999999</v>
      </c>
      <c r="O343" s="131">
        <f t="shared" si="30"/>
        <v>225.39999999999998</v>
      </c>
      <c r="P343" s="130">
        <f t="shared" si="32"/>
        <v>0</v>
      </c>
    </row>
    <row r="344" spans="1:16" hidden="1" x14ac:dyDescent="0.25">
      <c r="A344" s="114" t="s">
        <v>269</v>
      </c>
      <c r="B344" s="114" t="s">
        <v>301</v>
      </c>
      <c r="C344" s="114">
        <v>301</v>
      </c>
      <c r="D344" s="114">
        <v>500</v>
      </c>
      <c r="E344" s="1" t="s">
        <v>264</v>
      </c>
      <c r="F344" s="35">
        <v>501</v>
      </c>
      <c r="G344" s="35">
        <v>1000</v>
      </c>
      <c r="H344" s="127">
        <v>1000</v>
      </c>
      <c r="I344" s="138">
        <v>2.5</v>
      </c>
      <c r="J344" s="138">
        <v>2.5</v>
      </c>
      <c r="K344" s="136"/>
      <c r="L344" s="130">
        <f>+I344*J344</f>
        <v>6.25</v>
      </c>
      <c r="M344" s="28">
        <f>+L344*$M$1</f>
        <v>201.25000000000003</v>
      </c>
      <c r="N344" s="162">
        <f>+M344/H344</f>
        <v>0.20125000000000004</v>
      </c>
      <c r="O344" s="131">
        <f t="shared" ref="O344:O347" si="33">+N344*1000</f>
        <v>201.25000000000003</v>
      </c>
      <c r="P344" s="130">
        <f t="shared" si="32"/>
        <v>0.3125</v>
      </c>
    </row>
    <row r="345" spans="1:16" hidden="1" x14ac:dyDescent="0.25">
      <c r="A345" s="114" t="s">
        <v>269</v>
      </c>
      <c r="B345" s="114" t="s">
        <v>301</v>
      </c>
      <c r="C345" s="114">
        <v>301</v>
      </c>
      <c r="D345" s="114">
        <v>500</v>
      </c>
      <c r="E345" s="1" t="s">
        <v>266</v>
      </c>
      <c r="F345" s="35">
        <v>501</v>
      </c>
      <c r="G345" s="35">
        <v>1000</v>
      </c>
      <c r="H345" s="127">
        <v>1000</v>
      </c>
      <c r="I345" s="138">
        <v>2.5</v>
      </c>
      <c r="J345" s="138">
        <v>3</v>
      </c>
      <c r="K345" s="136"/>
      <c r="L345" s="130">
        <f>+I345*J345</f>
        <v>7.5</v>
      </c>
      <c r="M345" s="28">
        <f>+L345*$M$1</f>
        <v>241.50000000000003</v>
      </c>
      <c r="N345" s="162">
        <f>+M345/H345</f>
        <v>0.24150000000000002</v>
      </c>
      <c r="O345" s="131">
        <f t="shared" si="33"/>
        <v>241.50000000000003</v>
      </c>
      <c r="P345" s="130">
        <f t="shared" si="32"/>
        <v>0.375</v>
      </c>
    </row>
    <row r="346" spans="1:16" hidden="1" x14ac:dyDescent="0.25">
      <c r="A346" s="114" t="s">
        <v>269</v>
      </c>
      <c r="B346" s="114" t="s">
        <v>301</v>
      </c>
      <c r="C346" s="114">
        <v>301</v>
      </c>
      <c r="D346" s="114">
        <v>500</v>
      </c>
      <c r="E346" s="1" t="s">
        <v>17</v>
      </c>
      <c r="F346" s="35">
        <v>501</v>
      </c>
      <c r="G346" s="35">
        <v>1000</v>
      </c>
      <c r="H346" s="127">
        <v>1000</v>
      </c>
      <c r="I346" s="138">
        <v>3.5</v>
      </c>
      <c r="J346" s="138">
        <v>2.5</v>
      </c>
      <c r="K346" s="136"/>
      <c r="L346" s="130">
        <f>+I346*J346</f>
        <v>8.75</v>
      </c>
      <c r="M346" s="28">
        <f>+L346*$M$1</f>
        <v>281.75</v>
      </c>
      <c r="N346" s="162">
        <f>+M346/H346</f>
        <v>0.28175</v>
      </c>
      <c r="O346" s="131">
        <f t="shared" si="33"/>
        <v>281.75</v>
      </c>
      <c r="P346" s="130">
        <f t="shared" si="32"/>
        <v>0.3125</v>
      </c>
    </row>
    <row r="347" spans="1:16" hidden="1" x14ac:dyDescent="0.25">
      <c r="A347" s="114" t="s">
        <v>269</v>
      </c>
      <c r="B347" s="114" t="s">
        <v>301</v>
      </c>
      <c r="C347" s="114">
        <v>301</v>
      </c>
      <c r="D347" s="114">
        <v>500</v>
      </c>
      <c r="E347" s="1" t="s">
        <v>50</v>
      </c>
      <c r="F347" s="35">
        <v>501</v>
      </c>
      <c r="G347" s="35">
        <v>1000</v>
      </c>
      <c r="H347" s="127">
        <v>1000</v>
      </c>
      <c r="I347" s="138">
        <v>4.5</v>
      </c>
      <c r="J347" s="138">
        <v>3</v>
      </c>
      <c r="K347" s="136"/>
      <c r="L347" s="130">
        <f>+I347*J347</f>
        <v>13.5</v>
      </c>
      <c r="M347" s="28">
        <f>+L347*$M$1</f>
        <v>434.70000000000005</v>
      </c>
      <c r="N347" s="162">
        <f>+M347/H347</f>
        <v>0.43470000000000003</v>
      </c>
      <c r="O347" s="131">
        <f t="shared" si="33"/>
        <v>434.70000000000005</v>
      </c>
      <c r="P347" s="130">
        <f t="shared" si="32"/>
        <v>0.375</v>
      </c>
    </row>
    <row r="348" spans="1:16" hidden="1" x14ac:dyDescent="0.25">
      <c r="A348" s="114" t="s">
        <v>269</v>
      </c>
      <c r="B348" s="114" t="s">
        <v>301</v>
      </c>
      <c r="C348" s="114">
        <v>301</v>
      </c>
      <c r="D348" s="114">
        <v>500</v>
      </c>
      <c r="E348" s="1" t="s">
        <v>263</v>
      </c>
      <c r="F348" s="35">
        <v>1001</v>
      </c>
      <c r="G348" s="35">
        <v>2500</v>
      </c>
      <c r="H348" s="127">
        <v>2500</v>
      </c>
      <c r="I348" s="138">
        <v>1.5</v>
      </c>
      <c r="J348" s="137"/>
      <c r="K348" s="138">
        <v>600</v>
      </c>
      <c r="L348" s="130">
        <f>I348*(H348/K348)</f>
        <v>6.25</v>
      </c>
      <c r="M348" s="28">
        <f>+L348*$M$1</f>
        <v>201.25000000000003</v>
      </c>
      <c r="N348" s="162">
        <f>+M348/H348</f>
        <v>8.0500000000000016E-2</v>
      </c>
      <c r="O348" s="131">
        <f>+N348*1000</f>
        <v>80.500000000000014</v>
      </c>
      <c r="P348" s="130">
        <f t="shared" si="32"/>
        <v>0</v>
      </c>
    </row>
    <row r="349" spans="1:16" x14ac:dyDescent="0.25">
      <c r="A349" s="114" t="s">
        <v>270</v>
      </c>
      <c r="B349" s="114" t="s">
        <v>301</v>
      </c>
      <c r="C349" s="114">
        <v>301</v>
      </c>
      <c r="D349" s="114">
        <v>500</v>
      </c>
      <c r="E349" s="1" t="s">
        <v>18</v>
      </c>
      <c r="F349" s="35">
        <v>5001</v>
      </c>
      <c r="G349" s="35">
        <v>25000</v>
      </c>
      <c r="H349" s="127">
        <v>25000</v>
      </c>
      <c r="I349" s="138">
        <v>3.5</v>
      </c>
      <c r="J349" s="137"/>
      <c r="K349" s="138">
        <v>550</v>
      </c>
      <c r="L349" s="130">
        <f>I349*(H349/K349)</f>
        <v>159.09090909090909</v>
      </c>
      <c r="M349" s="28">
        <f>+L349*$M$1</f>
        <v>5122.727272727273</v>
      </c>
      <c r="N349" s="162">
        <f>+M349/H349</f>
        <v>0.20490909090909093</v>
      </c>
      <c r="O349" s="131">
        <f>+N349*1000</f>
        <v>204.90909090909093</v>
      </c>
      <c r="P349" s="130">
        <f t="shared" si="32"/>
        <v>0</v>
      </c>
    </row>
    <row r="350" spans="1:16" hidden="1" x14ac:dyDescent="0.25">
      <c r="A350" s="114" t="s">
        <v>269</v>
      </c>
      <c r="B350" s="114" t="s">
        <v>301</v>
      </c>
      <c r="C350" s="114">
        <v>301</v>
      </c>
      <c r="D350" s="114">
        <v>500</v>
      </c>
      <c r="E350" s="1" t="s">
        <v>265</v>
      </c>
      <c r="F350" s="35">
        <v>1001</v>
      </c>
      <c r="G350" s="35">
        <v>2500</v>
      </c>
      <c r="H350" s="127">
        <v>2500</v>
      </c>
      <c r="I350" s="138">
        <v>1.5</v>
      </c>
      <c r="J350" s="137"/>
      <c r="K350" s="138">
        <v>500</v>
      </c>
      <c r="L350" s="130">
        <f>I350*(H350/K350)</f>
        <v>7.5</v>
      </c>
      <c r="M350" s="28">
        <f>+L350*$M$1</f>
        <v>241.50000000000003</v>
      </c>
      <c r="N350" s="162">
        <f>+M350/H350</f>
        <v>9.6600000000000005E-2</v>
      </c>
      <c r="O350" s="131">
        <f t="shared" ref="O350:O353" si="34">+N350*1000</f>
        <v>96.600000000000009</v>
      </c>
      <c r="P350" s="130">
        <f t="shared" si="32"/>
        <v>0</v>
      </c>
    </row>
    <row r="351" spans="1:16" hidden="1" x14ac:dyDescent="0.25">
      <c r="A351" s="114" t="s">
        <v>269</v>
      </c>
      <c r="B351" s="114" t="s">
        <v>301</v>
      </c>
      <c r="C351" s="114">
        <v>301</v>
      </c>
      <c r="D351" s="114">
        <v>500</v>
      </c>
      <c r="E351" s="1" t="s">
        <v>264</v>
      </c>
      <c r="F351" s="35">
        <v>1001</v>
      </c>
      <c r="G351" s="35">
        <v>2500</v>
      </c>
      <c r="H351" s="127">
        <v>2500</v>
      </c>
      <c r="I351" s="138">
        <v>2.5</v>
      </c>
      <c r="J351" s="137"/>
      <c r="K351" s="138">
        <v>600</v>
      </c>
      <c r="L351" s="130">
        <f>I351*(H351/K351)</f>
        <v>10.416666666666668</v>
      </c>
      <c r="M351" s="28">
        <f>+L351*$M$1</f>
        <v>335.41666666666674</v>
      </c>
      <c r="N351" s="162">
        <f>+M351/H351</f>
        <v>0.13416666666666668</v>
      </c>
      <c r="O351" s="131">
        <f t="shared" si="34"/>
        <v>134.16666666666669</v>
      </c>
      <c r="P351" s="130">
        <f t="shared" si="32"/>
        <v>0</v>
      </c>
    </row>
    <row r="352" spans="1:16" hidden="1" x14ac:dyDescent="0.25">
      <c r="A352" s="114" t="s">
        <v>269</v>
      </c>
      <c r="B352" s="114" t="s">
        <v>301</v>
      </c>
      <c r="C352" s="114">
        <v>301</v>
      </c>
      <c r="D352" s="114">
        <v>500</v>
      </c>
      <c r="E352" s="1" t="s">
        <v>266</v>
      </c>
      <c r="F352" s="35">
        <v>1001</v>
      </c>
      <c r="G352" s="35">
        <v>2500</v>
      </c>
      <c r="H352" s="127">
        <v>2500</v>
      </c>
      <c r="I352" s="138">
        <v>2.5</v>
      </c>
      <c r="J352" s="137"/>
      <c r="K352" s="138">
        <v>500</v>
      </c>
      <c r="L352" s="130">
        <f>I352*(H352/K352)</f>
        <v>12.5</v>
      </c>
      <c r="M352" s="28">
        <f>+L352*$M$1</f>
        <v>402.50000000000006</v>
      </c>
      <c r="N352" s="162">
        <f>+M352/H352</f>
        <v>0.16100000000000003</v>
      </c>
      <c r="O352" s="131">
        <f t="shared" si="34"/>
        <v>161.00000000000003</v>
      </c>
      <c r="P352" s="130">
        <f t="shared" si="32"/>
        <v>0</v>
      </c>
    </row>
    <row r="353" spans="1:16" hidden="1" x14ac:dyDescent="0.25">
      <c r="A353" s="114" t="s">
        <v>269</v>
      </c>
      <c r="B353" s="114" t="s">
        <v>301</v>
      </c>
      <c r="C353" s="114">
        <v>301</v>
      </c>
      <c r="D353" s="114">
        <v>500</v>
      </c>
      <c r="E353" s="1" t="s">
        <v>17</v>
      </c>
      <c r="F353" s="35">
        <v>1001</v>
      </c>
      <c r="G353" s="35">
        <v>2500</v>
      </c>
      <c r="H353" s="127">
        <v>2500</v>
      </c>
      <c r="I353" s="138">
        <v>3.5</v>
      </c>
      <c r="J353" s="137"/>
      <c r="K353" s="138">
        <v>550</v>
      </c>
      <c r="L353" s="130">
        <f>I353*(H353/K353)</f>
        <v>15.90909090909091</v>
      </c>
      <c r="M353" s="28">
        <f>+L353*$M$1</f>
        <v>512.27272727272737</v>
      </c>
      <c r="N353" s="162">
        <f>+M353/H353</f>
        <v>0.20490909090909096</v>
      </c>
      <c r="O353" s="131">
        <f t="shared" si="34"/>
        <v>204.90909090909096</v>
      </c>
      <c r="P353" s="130">
        <f t="shared" si="32"/>
        <v>0</v>
      </c>
    </row>
    <row r="354" spans="1:16" hidden="1" x14ac:dyDescent="0.25">
      <c r="A354" s="114" t="s">
        <v>269</v>
      </c>
      <c r="B354" s="114" t="s">
        <v>301</v>
      </c>
      <c r="C354" s="114">
        <v>301</v>
      </c>
      <c r="D354" s="114">
        <v>500</v>
      </c>
      <c r="E354" s="1" t="s">
        <v>50</v>
      </c>
      <c r="F354" s="35">
        <v>1001</v>
      </c>
      <c r="G354" s="35">
        <v>2500</v>
      </c>
      <c r="H354" s="127">
        <v>2500</v>
      </c>
      <c r="I354" s="138">
        <v>4.5</v>
      </c>
      <c r="J354" s="137"/>
      <c r="K354" s="138">
        <v>400</v>
      </c>
      <c r="L354" s="130">
        <f>I354*(H354/K354)</f>
        <v>28.125</v>
      </c>
      <c r="M354" s="28">
        <f>+L354*$M$1</f>
        <v>905.62500000000011</v>
      </c>
      <c r="N354" s="162">
        <f>+M354/H354</f>
        <v>0.36225000000000007</v>
      </c>
      <c r="O354" s="131">
        <f>+N354*1000</f>
        <v>362.25000000000006</v>
      </c>
      <c r="P354" s="130">
        <f t="shared" si="32"/>
        <v>0</v>
      </c>
    </row>
    <row r="355" spans="1:16" hidden="1" x14ac:dyDescent="0.25">
      <c r="A355" s="114" t="s">
        <v>269</v>
      </c>
      <c r="B355" s="114" t="s">
        <v>301</v>
      </c>
      <c r="C355" s="114">
        <v>301</v>
      </c>
      <c r="D355" s="114">
        <v>500</v>
      </c>
      <c r="E355" s="1" t="s">
        <v>263</v>
      </c>
      <c r="F355" s="35">
        <v>2501</v>
      </c>
      <c r="G355" s="35">
        <v>5000</v>
      </c>
      <c r="H355" s="127">
        <v>5000</v>
      </c>
      <c r="I355" s="138">
        <v>1.5</v>
      </c>
      <c r="J355" s="137"/>
      <c r="K355" s="138">
        <v>700</v>
      </c>
      <c r="L355" s="130">
        <f>I355*(H355/K355)</f>
        <v>10.714285714285715</v>
      </c>
      <c r="M355" s="28">
        <f>+L355*$M$1</f>
        <v>345.00000000000006</v>
      </c>
      <c r="N355" s="162">
        <f>+M355/H355</f>
        <v>6.9000000000000006E-2</v>
      </c>
      <c r="O355" s="131">
        <f>+N355*1000</f>
        <v>69</v>
      </c>
      <c r="P355" s="130">
        <f t="shared" si="32"/>
        <v>0</v>
      </c>
    </row>
    <row r="356" spans="1:16" hidden="1" x14ac:dyDescent="0.25">
      <c r="A356" s="114" t="s">
        <v>269</v>
      </c>
      <c r="B356" s="114" t="s">
        <v>301</v>
      </c>
      <c r="C356" s="114">
        <v>301</v>
      </c>
      <c r="D356" s="114">
        <v>500</v>
      </c>
      <c r="E356" s="1" t="s">
        <v>265</v>
      </c>
      <c r="F356" s="35">
        <v>2501</v>
      </c>
      <c r="G356" s="35">
        <v>5000</v>
      </c>
      <c r="H356" s="127">
        <v>5000</v>
      </c>
      <c r="I356" s="138">
        <v>1.5</v>
      </c>
      <c r="J356" s="137"/>
      <c r="K356" s="138">
        <v>600</v>
      </c>
      <c r="L356" s="130">
        <f>I356*(H356/K356)</f>
        <v>12.5</v>
      </c>
      <c r="M356" s="28">
        <f>+L356*$M$1</f>
        <v>402.50000000000006</v>
      </c>
      <c r="N356" s="162">
        <f>+M356/H356</f>
        <v>8.0500000000000016E-2</v>
      </c>
      <c r="O356" s="131">
        <f t="shared" ref="O356:O380" si="35">+N356*1000</f>
        <v>80.500000000000014</v>
      </c>
      <c r="P356" s="130">
        <f t="shared" si="32"/>
        <v>0</v>
      </c>
    </row>
    <row r="357" spans="1:16" hidden="1" x14ac:dyDescent="0.25">
      <c r="A357" s="114" t="s">
        <v>269</v>
      </c>
      <c r="B357" s="114" t="s">
        <v>301</v>
      </c>
      <c r="C357" s="114">
        <v>301</v>
      </c>
      <c r="D357" s="114">
        <v>500</v>
      </c>
      <c r="E357" s="1" t="s">
        <v>264</v>
      </c>
      <c r="F357" s="35">
        <v>2501</v>
      </c>
      <c r="G357" s="35">
        <v>5000</v>
      </c>
      <c r="H357" s="127">
        <v>5000</v>
      </c>
      <c r="I357" s="138">
        <v>2.5</v>
      </c>
      <c r="J357" s="137"/>
      <c r="K357" s="138">
        <v>700</v>
      </c>
      <c r="L357" s="130">
        <f>I357*(H357/K357)</f>
        <v>17.857142857142858</v>
      </c>
      <c r="M357" s="28">
        <f>+L357*$M$1</f>
        <v>575.00000000000011</v>
      </c>
      <c r="N357" s="162">
        <f>+M357/H357</f>
        <v>0.11500000000000002</v>
      </c>
      <c r="O357" s="131">
        <f t="shared" si="35"/>
        <v>115.00000000000001</v>
      </c>
      <c r="P357" s="130">
        <f t="shared" si="32"/>
        <v>0</v>
      </c>
    </row>
    <row r="358" spans="1:16" hidden="1" x14ac:dyDescent="0.25">
      <c r="A358" s="114" t="s">
        <v>269</v>
      </c>
      <c r="B358" s="114" t="s">
        <v>301</v>
      </c>
      <c r="C358" s="114">
        <v>301</v>
      </c>
      <c r="D358" s="114">
        <v>500</v>
      </c>
      <c r="E358" s="1" t="s">
        <v>266</v>
      </c>
      <c r="F358" s="35">
        <v>2501</v>
      </c>
      <c r="G358" s="35">
        <v>5000</v>
      </c>
      <c r="H358" s="127">
        <v>5000</v>
      </c>
      <c r="I358" s="138">
        <v>2.5</v>
      </c>
      <c r="J358" s="137"/>
      <c r="K358" s="138">
        <v>600</v>
      </c>
      <c r="L358" s="130">
        <f>I358*(H358/K358)</f>
        <v>20.833333333333336</v>
      </c>
      <c r="M358" s="28">
        <f>+L358*$M$1</f>
        <v>670.83333333333348</v>
      </c>
      <c r="N358" s="162">
        <f>+M358/H358</f>
        <v>0.13416666666666668</v>
      </c>
      <c r="O358" s="131">
        <f t="shared" si="35"/>
        <v>134.16666666666669</v>
      </c>
      <c r="P358" s="130">
        <f t="shared" si="32"/>
        <v>0</v>
      </c>
    </row>
    <row r="359" spans="1:16" hidden="1" x14ac:dyDescent="0.25">
      <c r="A359" s="114" t="s">
        <v>269</v>
      </c>
      <c r="B359" s="114" t="s">
        <v>301</v>
      </c>
      <c r="C359" s="114">
        <v>301</v>
      </c>
      <c r="D359" s="114">
        <v>500</v>
      </c>
      <c r="E359" s="1" t="s">
        <v>17</v>
      </c>
      <c r="F359" s="35">
        <v>2501</v>
      </c>
      <c r="G359" s="35">
        <v>5000</v>
      </c>
      <c r="H359" s="127">
        <v>5000</v>
      </c>
      <c r="I359" s="138">
        <v>3.5</v>
      </c>
      <c r="J359" s="137"/>
      <c r="K359" s="138">
        <v>600</v>
      </c>
      <c r="L359" s="130">
        <f>I359*(H359/K359)</f>
        <v>29.166666666666668</v>
      </c>
      <c r="M359" s="28">
        <f>+L359*$M$1</f>
        <v>939.16666666666674</v>
      </c>
      <c r="N359" s="162">
        <f>+M359/H359</f>
        <v>0.18783333333333335</v>
      </c>
      <c r="O359" s="131">
        <f t="shared" si="35"/>
        <v>187.83333333333334</v>
      </c>
      <c r="P359" s="130">
        <f t="shared" si="32"/>
        <v>0</v>
      </c>
    </row>
    <row r="360" spans="1:16" hidden="1" x14ac:dyDescent="0.25">
      <c r="A360" s="114" t="s">
        <v>269</v>
      </c>
      <c r="B360" s="114" t="s">
        <v>301</v>
      </c>
      <c r="C360" s="114">
        <v>301</v>
      </c>
      <c r="D360" s="114">
        <v>500</v>
      </c>
      <c r="E360" s="1" t="s">
        <v>50</v>
      </c>
      <c r="F360" s="35">
        <v>2501</v>
      </c>
      <c r="G360" s="35">
        <v>5000</v>
      </c>
      <c r="H360" s="127">
        <v>5000</v>
      </c>
      <c r="I360" s="138">
        <v>4.5</v>
      </c>
      <c r="J360" s="137"/>
      <c r="K360" s="138">
        <v>425</v>
      </c>
      <c r="L360" s="130">
        <f>I360*(H360/K360)</f>
        <v>52.941176470588239</v>
      </c>
      <c r="M360" s="28">
        <f>+L360*$M$1</f>
        <v>1704.7058823529414</v>
      </c>
      <c r="N360" s="162">
        <f>+M360/H360</f>
        <v>0.3409411764705883</v>
      </c>
      <c r="O360" s="131">
        <f t="shared" si="35"/>
        <v>340.94117647058829</v>
      </c>
      <c r="P360" s="130">
        <f t="shared" si="32"/>
        <v>0</v>
      </c>
    </row>
    <row r="361" spans="1:16" hidden="1" x14ac:dyDescent="0.25">
      <c r="A361" s="114" t="s">
        <v>269</v>
      </c>
      <c r="B361" s="114" t="s">
        <v>301</v>
      </c>
      <c r="C361" s="114">
        <v>301</v>
      </c>
      <c r="D361" s="114">
        <v>500</v>
      </c>
      <c r="E361" s="1" t="s">
        <v>18</v>
      </c>
      <c r="F361" s="35">
        <v>0</v>
      </c>
      <c r="G361" s="35">
        <v>500</v>
      </c>
      <c r="H361" s="127">
        <v>500</v>
      </c>
      <c r="I361" s="138">
        <v>3.5</v>
      </c>
      <c r="J361" s="138">
        <v>2.5</v>
      </c>
      <c r="K361" s="136"/>
      <c r="L361">
        <f>+I361*J361</f>
        <v>8.75</v>
      </c>
      <c r="M361" s="28">
        <f>+L361*$M$1</f>
        <v>281.75</v>
      </c>
      <c r="N361" s="162">
        <f>+M361/H361</f>
        <v>0.5635</v>
      </c>
      <c r="O361" s="131">
        <f t="shared" si="35"/>
        <v>563.5</v>
      </c>
      <c r="P361" s="130">
        <f t="shared" si="32"/>
        <v>0.3125</v>
      </c>
    </row>
    <row r="362" spans="1:16" x14ac:dyDescent="0.25">
      <c r="A362" s="114" t="s">
        <v>270</v>
      </c>
      <c r="B362" s="114" t="s">
        <v>301</v>
      </c>
      <c r="C362" s="114">
        <v>151</v>
      </c>
      <c r="D362" s="114">
        <v>300</v>
      </c>
      <c r="E362" s="1" t="s">
        <v>263</v>
      </c>
      <c r="F362" s="35">
        <v>5001</v>
      </c>
      <c r="G362" s="35">
        <v>25000</v>
      </c>
      <c r="H362" s="127">
        <v>25000</v>
      </c>
      <c r="I362" s="138">
        <v>1.5</v>
      </c>
      <c r="J362" s="137"/>
      <c r="K362" s="138">
        <v>800</v>
      </c>
      <c r="L362" s="130">
        <f>I362*(H362/K362)</f>
        <v>46.875</v>
      </c>
      <c r="M362" s="28">
        <f>+L362*$M$1</f>
        <v>1509.3750000000002</v>
      </c>
      <c r="N362" s="162">
        <f>+M362/H362</f>
        <v>6.0375000000000012E-2</v>
      </c>
      <c r="O362" s="131">
        <f t="shared" si="35"/>
        <v>60.375000000000014</v>
      </c>
      <c r="P362" s="130">
        <f t="shared" si="32"/>
        <v>0</v>
      </c>
    </row>
    <row r="363" spans="1:16" x14ac:dyDescent="0.25">
      <c r="A363" s="114" t="s">
        <v>270</v>
      </c>
      <c r="B363" s="114" t="s">
        <v>301</v>
      </c>
      <c r="C363" s="114">
        <v>301</v>
      </c>
      <c r="D363" s="114">
        <v>500</v>
      </c>
      <c r="E363" s="1" t="s">
        <v>263</v>
      </c>
      <c r="F363" s="35">
        <v>5001</v>
      </c>
      <c r="G363" s="35">
        <v>25000</v>
      </c>
      <c r="H363" s="127">
        <v>25000</v>
      </c>
      <c r="I363" s="138">
        <v>1.5</v>
      </c>
      <c r="J363" s="137"/>
      <c r="K363" s="138">
        <v>800</v>
      </c>
      <c r="L363" s="130">
        <f>I363*(H363/K363)</f>
        <v>46.875</v>
      </c>
      <c r="M363" s="28">
        <f>+L363*$M$1</f>
        <v>1509.3750000000002</v>
      </c>
      <c r="N363" s="162">
        <f>+M363/H363</f>
        <v>6.0375000000000012E-2</v>
      </c>
      <c r="O363" s="131">
        <f t="shared" si="35"/>
        <v>60.375000000000014</v>
      </c>
      <c r="P363" s="130">
        <f t="shared" si="32"/>
        <v>0</v>
      </c>
    </row>
    <row r="364" spans="1:16" x14ac:dyDescent="0.25">
      <c r="A364" s="114" t="s">
        <v>270</v>
      </c>
      <c r="B364" s="114" t="s">
        <v>301</v>
      </c>
      <c r="C364" s="114">
        <v>501</v>
      </c>
      <c r="D364" s="114">
        <v>1000</v>
      </c>
      <c r="E364" s="1" t="s">
        <v>263</v>
      </c>
      <c r="F364" s="35">
        <v>5001</v>
      </c>
      <c r="G364" s="35">
        <v>25000</v>
      </c>
      <c r="H364" s="127">
        <v>25000</v>
      </c>
      <c r="I364" s="138">
        <v>1.5</v>
      </c>
      <c r="J364" s="137"/>
      <c r="K364" s="138">
        <v>800</v>
      </c>
      <c r="L364" s="130">
        <f>I364*(H364/K364)</f>
        <v>46.875</v>
      </c>
      <c r="M364" s="28">
        <f>+L364*$M$1</f>
        <v>1509.3750000000002</v>
      </c>
      <c r="N364" s="162">
        <f>+M364/H364</f>
        <v>6.0375000000000012E-2</v>
      </c>
      <c r="O364" s="131">
        <f t="shared" si="35"/>
        <v>60.375000000000014</v>
      </c>
      <c r="P364" s="130">
        <f t="shared" si="32"/>
        <v>0</v>
      </c>
    </row>
    <row r="365" spans="1:16" hidden="1" x14ac:dyDescent="0.25">
      <c r="A365" s="114" t="s">
        <v>269</v>
      </c>
      <c r="B365" s="114" t="s">
        <v>301</v>
      </c>
      <c r="C365" s="114">
        <v>301</v>
      </c>
      <c r="D365" s="114">
        <v>500</v>
      </c>
      <c r="E365" s="1" t="s">
        <v>18</v>
      </c>
      <c r="F365" s="35">
        <v>501</v>
      </c>
      <c r="G365" s="35">
        <v>1000</v>
      </c>
      <c r="H365" s="127">
        <v>1000</v>
      </c>
      <c r="I365" s="138">
        <v>3.5</v>
      </c>
      <c r="J365" s="139">
        <v>3</v>
      </c>
      <c r="K365" s="136"/>
      <c r="L365">
        <f>+I365*J365</f>
        <v>10.5</v>
      </c>
      <c r="M365" s="28">
        <f>+L365*$M$1</f>
        <v>338.1</v>
      </c>
      <c r="N365" s="162">
        <f>+M365/H365</f>
        <v>0.33810000000000001</v>
      </c>
      <c r="O365" s="131">
        <f t="shared" si="35"/>
        <v>338.1</v>
      </c>
      <c r="P365" s="130">
        <f t="shared" si="32"/>
        <v>0.375</v>
      </c>
    </row>
    <row r="366" spans="1:16" hidden="1" x14ac:dyDescent="0.25">
      <c r="A366" s="114" t="s">
        <v>269</v>
      </c>
      <c r="B366" s="114" t="s">
        <v>301</v>
      </c>
      <c r="C366" s="114">
        <v>301</v>
      </c>
      <c r="D366" s="114">
        <v>500</v>
      </c>
      <c r="E366" s="1" t="s">
        <v>18</v>
      </c>
      <c r="F366" s="35">
        <v>1001</v>
      </c>
      <c r="G366" s="35">
        <v>2500</v>
      </c>
      <c r="H366" s="127">
        <v>2500</v>
      </c>
      <c r="I366" s="138">
        <v>3.5</v>
      </c>
      <c r="J366" s="137"/>
      <c r="K366" s="138">
        <v>400</v>
      </c>
      <c r="L366" s="130">
        <f>I366*(H366/K366)</f>
        <v>21.875</v>
      </c>
      <c r="M366" s="28">
        <f>+L366*$M$1</f>
        <v>704.37500000000011</v>
      </c>
      <c r="N366" s="162">
        <f>+M366/H366</f>
        <v>0.28175000000000006</v>
      </c>
      <c r="O366" s="131">
        <f t="shared" si="35"/>
        <v>281.75000000000006</v>
      </c>
      <c r="P366" s="130">
        <f t="shared" si="32"/>
        <v>0</v>
      </c>
    </row>
    <row r="367" spans="1:16" hidden="1" x14ac:dyDescent="0.25">
      <c r="A367" s="114" t="s">
        <v>269</v>
      </c>
      <c r="B367" s="114" t="s">
        <v>301</v>
      </c>
      <c r="C367" s="114">
        <v>301</v>
      </c>
      <c r="D367" s="114">
        <v>500</v>
      </c>
      <c r="E367" s="1" t="s">
        <v>18</v>
      </c>
      <c r="F367" s="35">
        <v>2501</v>
      </c>
      <c r="G367" s="35">
        <v>5000</v>
      </c>
      <c r="H367" s="127">
        <v>5000</v>
      </c>
      <c r="I367" s="138">
        <v>3.5</v>
      </c>
      <c r="J367" s="137"/>
      <c r="K367" s="138">
        <v>425</v>
      </c>
      <c r="L367" s="130">
        <f>I367*(H367/K367)</f>
        <v>41.176470588235297</v>
      </c>
      <c r="M367" s="28">
        <f>+L367*$M$1</f>
        <v>1325.8823529411766</v>
      </c>
      <c r="N367" s="162">
        <f>+M367/H367</f>
        <v>0.26517647058823529</v>
      </c>
      <c r="O367" s="131">
        <f t="shared" si="35"/>
        <v>265.1764705882353</v>
      </c>
      <c r="P367" s="130">
        <f t="shared" si="32"/>
        <v>0</v>
      </c>
    </row>
    <row r="368" spans="1:16" hidden="1" x14ac:dyDescent="0.25">
      <c r="A368" s="114" t="s">
        <v>269</v>
      </c>
      <c r="B368" s="114" t="s">
        <v>301</v>
      </c>
      <c r="C368" s="114">
        <v>301</v>
      </c>
      <c r="D368" s="114">
        <v>500</v>
      </c>
      <c r="E368" s="1" t="s">
        <v>18</v>
      </c>
      <c r="F368" s="35">
        <v>5001</v>
      </c>
      <c r="G368" s="35">
        <v>25000</v>
      </c>
      <c r="H368" s="127">
        <v>25000</v>
      </c>
      <c r="I368" s="138">
        <v>3.5</v>
      </c>
      <c r="J368" s="137"/>
      <c r="K368" s="138">
        <v>450</v>
      </c>
      <c r="L368" s="130">
        <f>I368*(H368/K368)</f>
        <v>194.44444444444446</v>
      </c>
      <c r="M368" s="28">
        <f>+L368*$M$1</f>
        <v>6261.1111111111122</v>
      </c>
      <c r="N368" s="162">
        <f>+M368/H368</f>
        <v>0.25044444444444447</v>
      </c>
      <c r="O368" s="131">
        <f t="shared" si="35"/>
        <v>250.44444444444446</v>
      </c>
      <c r="P368" s="130">
        <f t="shared" si="32"/>
        <v>0</v>
      </c>
    </row>
    <row r="369" spans="1:16" hidden="1" x14ac:dyDescent="0.25">
      <c r="A369" s="114" t="s">
        <v>269</v>
      </c>
      <c r="B369" s="114" t="s">
        <v>301</v>
      </c>
      <c r="C369" s="114">
        <v>301</v>
      </c>
      <c r="D369" s="114">
        <v>500</v>
      </c>
      <c r="E369" s="1" t="s">
        <v>263</v>
      </c>
      <c r="F369" s="35">
        <v>5001</v>
      </c>
      <c r="G369" s="35">
        <v>25000</v>
      </c>
      <c r="H369" s="127">
        <v>25000</v>
      </c>
      <c r="I369" s="138">
        <v>1.5</v>
      </c>
      <c r="J369" s="137"/>
      <c r="K369" s="138">
        <v>900</v>
      </c>
      <c r="L369" s="130">
        <f>I369*(H369/K369)</f>
        <v>41.666666666666671</v>
      </c>
      <c r="M369" s="28">
        <f>+L369*$M$1</f>
        <v>1341.666666666667</v>
      </c>
      <c r="N369" s="162">
        <f>+M369/H369</f>
        <v>5.3666666666666682E-2</v>
      </c>
      <c r="O369" s="131">
        <f t="shared" si="35"/>
        <v>53.666666666666679</v>
      </c>
      <c r="P369" s="130">
        <f t="shared" si="32"/>
        <v>0</v>
      </c>
    </row>
    <row r="370" spans="1:16" hidden="1" x14ac:dyDescent="0.25">
      <c r="A370" s="114" t="s">
        <v>269</v>
      </c>
      <c r="B370" s="114" t="s">
        <v>301</v>
      </c>
      <c r="C370" s="114">
        <v>301</v>
      </c>
      <c r="D370" s="114">
        <v>500</v>
      </c>
      <c r="E370" s="1" t="s">
        <v>265</v>
      </c>
      <c r="F370" s="35">
        <v>5001</v>
      </c>
      <c r="G370" s="35">
        <v>25000</v>
      </c>
      <c r="H370" s="127">
        <v>25000</v>
      </c>
      <c r="I370" s="138">
        <v>1.5</v>
      </c>
      <c r="J370" s="137"/>
      <c r="K370" s="138">
        <v>800</v>
      </c>
      <c r="L370" s="130">
        <f>I370*(H370/K370)</f>
        <v>46.875</v>
      </c>
      <c r="M370" s="28">
        <f>+L370*$M$1</f>
        <v>1509.3750000000002</v>
      </c>
      <c r="N370" s="162">
        <f>+M370/H370</f>
        <v>6.0375000000000012E-2</v>
      </c>
      <c r="O370" s="131">
        <f t="shared" si="35"/>
        <v>60.375000000000014</v>
      </c>
      <c r="P370" s="130">
        <f t="shared" si="32"/>
        <v>0</v>
      </c>
    </row>
    <row r="371" spans="1:16" hidden="1" x14ac:dyDescent="0.25">
      <c r="A371" s="114" t="s">
        <v>269</v>
      </c>
      <c r="B371" s="114" t="s">
        <v>301</v>
      </c>
      <c r="C371" s="114">
        <v>301</v>
      </c>
      <c r="D371" s="114">
        <v>500</v>
      </c>
      <c r="E371" s="1" t="s">
        <v>264</v>
      </c>
      <c r="F371" s="35">
        <v>5001</v>
      </c>
      <c r="G371" s="35">
        <v>25000</v>
      </c>
      <c r="H371" s="127">
        <v>25000</v>
      </c>
      <c r="I371" s="138">
        <v>2.5</v>
      </c>
      <c r="J371" s="137"/>
      <c r="K371" s="138">
        <v>900</v>
      </c>
      <c r="L371" s="130">
        <f>I371*(H371/K371)</f>
        <v>69.444444444444443</v>
      </c>
      <c r="M371" s="28">
        <f>+L371*$M$1</f>
        <v>2236.1111111111113</v>
      </c>
      <c r="N371" s="162">
        <f>+M371/H371</f>
        <v>8.9444444444444451E-2</v>
      </c>
      <c r="O371" s="131">
        <f t="shared" si="35"/>
        <v>89.444444444444457</v>
      </c>
      <c r="P371" s="130">
        <f t="shared" si="32"/>
        <v>0</v>
      </c>
    </row>
    <row r="372" spans="1:16" hidden="1" x14ac:dyDescent="0.25">
      <c r="A372" s="114" t="s">
        <v>269</v>
      </c>
      <c r="B372" s="114" t="s">
        <v>301</v>
      </c>
      <c r="C372" s="114">
        <v>301</v>
      </c>
      <c r="D372" s="114">
        <v>500</v>
      </c>
      <c r="E372" s="1" t="s">
        <v>266</v>
      </c>
      <c r="F372" s="35">
        <v>5001</v>
      </c>
      <c r="G372" s="35">
        <v>25000</v>
      </c>
      <c r="H372" s="127">
        <v>25000</v>
      </c>
      <c r="I372" s="138">
        <v>2.5</v>
      </c>
      <c r="J372" s="137"/>
      <c r="K372" s="138">
        <v>800</v>
      </c>
      <c r="L372" s="130">
        <f>I372*(H372/K372)</f>
        <v>78.125</v>
      </c>
      <c r="M372" s="28">
        <f>+L372*$M$1</f>
        <v>2515.625</v>
      </c>
      <c r="N372" s="162">
        <f>+M372/H372</f>
        <v>0.10062500000000001</v>
      </c>
      <c r="O372" s="131">
        <f t="shared" si="35"/>
        <v>100.625</v>
      </c>
      <c r="P372" s="130">
        <f t="shared" si="32"/>
        <v>0</v>
      </c>
    </row>
    <row r="373" spans="1:16" hidden="1" x14ac:dyDescent="0.25">
      <c r="A373" s="114" t="s">
        <v>269</v>
      </c>
      <c r="B373" s="114" t="s">
        <v>301</v>
      </c>
      <c r="C373" s="114">
        <v>301</v>
      </c>
      <c r="D373" s="114">
        <v>500</v>
      </c>
      <c r="E373" s="1" t="s">
        <v>17</v>
      </c>
      <c r="F373" s="35">
        <v>5001</v>
      </c>
      <c r="G373" s="35">
        <v>25000</v>
      </c>
      <c r="H373" s="127">
        <v>25000</v>
      </c>
      <c r="I373" s="138">
        <v>3.5</v>
      </c>
      <c r="J373" s="137"/>
      <c r="K373" s="138">
        <v>650</v>
      </c>
      <c r="L373" s="130">
        <f>I373*(H373/K373)</f>
        <v>134.61538461538461</v>
      </c>
      <c r="M373" s="28">
        <f>+L373*$M$1</f>
        <v>4334.6153846153848</v>
      </c>
      <c r="N373" s="162">
        <f>+M373/H373</f>
        <v>0.17338461538461539</v>
      </c>
      <c r="O373" s="131">
        <f t="shared" si="35"/>
        <v>173.38461538461539</v>
      </c>
      <c r="P373" s="130">
        <f t="shared" si="32"/>
        <v>0</v>
      </c>
    </row>
    <row r="374" spans="1:16" hidden="1" x14ac:dyDescent="0.25">
      <c r="A374" s="114" t="s">
        <v>269</v>
      </c>
      <c r="B374" s="114" t="s">
        <v>301</v>
      </c>
      <c r="C374" s="114">
        <v>301</v>
      </c>
      <c r="D374" s="114">
        <v>500</v>
      </c>
      <c r="E374" s="1" t="s">
        <v>50</v>
      </c>
      <c r="F374" s="35">
        <v>5001</v>
      </c>
      <c r="G374" s="35">
        <v>25000</v>
      </c>
      <c r="H374" s="127">
        <v>25000</v>
      </c>
      <c r="I374" s="138">
        <v>4.5</v>
      </c>
      <c r="J374" s="137"/>
      <c r="K374" s="138">
        <v>450</v>
      </c>
      <c r="L374" s="130">
        <f>I374*(H374/K374)</f>
        <v>250</v>
      </c>
      <c r="M374" s="28">
        <f>+L374*$M$1</f>
        <v>8050.0000000000009</v>
      </c>
      <c r="N374" s="162">
        <f>+M374/H374</f>
        <v>0.32200000000000006</v>
      </c>
      <c r="O374" s="131">
        <f t="shared" si="35"/>
        <v>322.00000000000006</v>
      </c>
      <c r="P374" s="130">
        <f t="shared" si="32"/>
        <v>0</v>
      </c>
    </row>
    <row r="375" spans="1:16" hidden="1" x14ac:dyDescent="0.25">
      <c r="A375" s="114" t="s">
        <v>269</v>
      </c>
      <c r="B375" s="114" t="s">
        <v>301</v>
      </c>
      <c r="C375" s="114">
        <v>501</v>
      </c>
      <c r="D375" s="114">
        <v>1000</v>
      </c>
      <c r="E375" s="1" t="s">
        <v>263</v>
      </c>
      <c r="F375" s="35">
        <v>0</v>
      </c>
      <c r="G375" s="35">
        <v>500</v>
      </c>
      <c r="H375" s="127">
        <v>500</v>
      </c>
      <c r="I375" s="138">
        <v>1.5</v>
      </c>
      <c r="J375" s="138">
        <v>2</v>
      </c>
      <c r="K375" s="136"/>
      <c r="L375" s="130">
        <f>+I375*J375</f>
        <v>3</v>
      </c>
      <c r="M375" s="28">
        <f>+L375*$M$1</f>
        <v>96.600000000000009</v>
      </c>
      <c r="N375" s="162">
        <f>+M375/H375</f>
        <v>0.19320000000000001</v>
      </c>
      <c r="O375" s="131">
        <f t="shared" si="35"/>
        <v>193.20000000000002</v>
      </c>
      <c r="P375" s="130">
        <f t="shared" si="32"/>
        <v>0.25</v>
      </c>
    </row>
    <row r="376" spans="1:16" hidden="1" x14ac:dyDescent="0.25">
      <c r="A376" s="114" t="s">
        <v>269</v>
      </c>
      <c r="B376" s="114" t="s">
        <v>301</v>
      </c>
      <c r="C376" s="114">
        <v>501</v>
      </c>
      <c r="D376" s="114">
        <v>1000</v>
      </c>
      <c r="E376" s="1" t="s">
        <v>265</v>
      </c>
      <c r="F376" s="35">
        <v>0</v>
      </c>
      <c r="G376" s="35">
        <v>500</v>
      </c>
      <c r="H376" s="127">
        <v>500</v>
      </c>
      <c r="I376" s="138">
        <v>1.5</v>
      </c>
      <c r="J376" s="138">
        <v>2</v>
      </c>
      <c r="K376" s="136"/>
      <c r="L376" s="130">
        <f>+I376*J376</f>
        <v>3</v>
      </c>
      <c r="M376" s="28">
        <f>+L376*$M$1</f>
        <v>96.600000000000009</v>
      </c>
      <c r="N376" s="162">
        <f>+M376/H376</f>
        <v>0.19320000000000001</v>
      </c>
      <c r="O376" s="131">
        <f t="shared" si="35"/>
        <v>193.20000000000002</v>
      </c>
      <c r="P376" s="130">
        <f t="shared" si="32"/>
        <v>0.25</v>
      </c>
    </row>
    <row r="377" spans="1:16" hidden="1" x14ac:dyDescent="0.25">
      <c r="A377" s="114" t="s">
        <v>269</v>
      </c>
      <c r="B377" s="114" t="s">
        <v>301</v>
      </c>
      <c r="C377" s="114">
        <v>501</v>
      </c>
      <c r="D377" s="114">
        <v>1000</v>
      </c>
      <c r="E377" s="1" t="s">
        <v>264</v>
      </c>
      <c r="F377" s="35">
        <v>0</v>
      </c>
      <c r="G377" s="35">
        <v>500</v>
      </c>
      <c r="H377" s="127">
        <v>500</v>
      </c>
      <c r="I377" s="138">
        <v>2.5</v>
      </c>
      <c r="J377" s="138">
        <v>2</v>
      </c>
      <c r="K377" s="136"/>
      <c r="L377" s="130">
        <f>+I377*J377</f>
        <v>5</v>
      </c>
      <c r="M377" s="28">
        <f>+L377*$M$1</f>
        <v>161</v>
      </c>
      <c r="N377" s="162">
        <f>+M377/H377</f>
        <v>0.32200000000000001</v>
      </c>
      <c r="O377" s="131">
        <f t="shared" si="35"/>
        <v>322</v>
      </c>
      <c r="P377" s="130">
        <f t="shared" si="32"/>
        <v>0.25</v>
      </c>
    </row>
    <row r="378" spans="1:16" hidden="1" x14ac:dyDescent="0.25">
      <c r="A378" s="114" t="s">
        <v>269</v>
      </c>
      <c r="B378" s="114" t="s">
        <v>301</v>
      </c>
      <c r="C378" s="114">
        <v>501</v>
      </c>
      <c r="D378" s="114">
        <v>1000</v>
      </c>
      <c r="E378" s="1" t="s">
        <v>266</v>
      </c>
      <c r="F378" s="35">
        <v>0</v>
      </c>
      <c r="G378" s="35">
        <v>500</v>
      </c>
      <c r="H378" s="127">
        <v>500</v>
      </c>
      <c r="I378" s="138">
        <v>2.5</v>
      </c>
      <c r="J378" s="138">
        <v>2</v>
      </c>
      <c r="K378" s="136"/>
      <c r="L378" s="130">
        <f>+I378*J378</f>
        <v>5</v>
      </c>
      <c r="M378" s="28">
        <f>+L378*$M$1</f>
        <v>161</v>
      </c>
      <c r="N378" s="162">
        <f>+M378/H378</f>
        <v>0.32200000000000001</v>
      </c>
      <c r="O378" s="131">
        <f t="shared" si="35"/>
        <v>322</v>
      </c>
      <c r="P378" s="130">
        <f t="shared" si="32"/>
        <v>0.25</v>
      </c>
    </row>
    <row r="379" spans="1:16" hidden="1" x14ac:dyDescent="0.25">
      <c r="A379" s="114" t="s">
        <v>269</v>
      </c>
      <c r="B379" s="114" t="s">
        <v>301</v>
      </c>
      <c r="C379" s="114">
        <v>501</v>
      </c>
      <c r="D379" s="114">
        <v>1000</v>
      </c>
      <c r="E379" s="1" t="s">
        <v>17</v>
      </c>
      <c r="F379" s="35">
        <v>0</v>
      </c>
      <c r="G379" s="35">
        <v>500</v>
      </c>
      <c r="H379" s="127">
        <v>500</v>
      </c>
      <c r="I379" s="138">
        <v>3.5</v>
      </c>
      <c r="J379" s="138">
        <v>2</v>
      </c>
      <c r="K379" s="136"/>
      <c r="L379" s="130">
        <f>+I379*J379</f>
        <v>7</v>
      </c>
      <c r="M379" s="28">
        <f>+L379*$M$1</f>
        <v>225.40000000000003</v>
      </c>
      <c r="N379" s="162">
        <f>+M379/H379</f>
        <v>0.45080000000000009</v>
      </c>
      <c r="O379" s="131">
        <f t="shared" si="35"/>
        <v>450.80000000000007</v>
      </c>
      <c r="P379" s="130">
        <f t="shared" si="32"/>
        <v>0.25</v>
      </c>
    </row>
    <row r="380" spans="1:16" hidden="1" x14ac:dyDescent="0.25">
      <c r="A380" s="114" t="s">
        <v>269</v>
      </c>
      <c r="B380" s="114" t="s">
        <v>301</v>
      </c>
      <c r="C380" s="114">
        <v>501</v>
      </c>
      <c r="D380" s="114">
        <v>1000</v>
      </c>
      <c r="E380" s="1" t="s">
        <v>50</v>
      </c>
      <c r="F380" s="35">
        <v>0</v>
      </c>
      <c r="G380" s="35">
        <v>500</v>
      </c>
      <c r="H380" s="127">
        <v>500</v>
      </c>
      <c r="I380" s="138">
        <v>4.5</v>
      </c>
      <c r="J380" s="138">
        <v>2.5</v>
      </c>
      <c r="K380" s="136"/>
      <c r="L380" s="130">
        <f>+I380*J380</f>
        <v>11.25</v>
      </c>
      <c r="M380" s="28">
        <f>+L380*$M$1</f>
        <v>362.25000000000006</v>
      </c>
      <c r="N380" s="162">
        <f>+M380/H380</f>
        <v>0.72450000000000014</v>
      </c>
      <c r="O380" s="131">
        <f t="shared" si="35"/>
        <v>724.50000000000011</v>
      </c>
      <c r="P380" s="130">
        <f t="shared" si="32"/>
        <v>0.3125</v>
      </c>
    </row>
    <row r="381" spans="1:16" hidden="1" x14ac:dyDescent="0.25">
      <c r="A381" s="114" t="s">
        <v>269</v>
      </c>
      <c r="B381" s="114" t="s">
        <v>301</v>
      </c>
      <c r="C381" s="114">
        <v>501</v>
      </c>
      <c r="D381" s="114">
        <v>1000</v>
      </c>
      <c r="E381" s="1" t="s">
        <v>263</v>
      </c>
      <c r="F381" s="35">
        <v>501</v>
      </c>
      <c r="G381" s="35">
        <v>1000</v>
      </c>
      <c r="H381" s="127">
        <v>1000</v>
      </c>
      <c r="I381" s="138">
        <v>1.5</v>
      </c>
      <c r="J381" s="138">
        <v>3</v>
      </c>
      <c r="K381" s="136"/>
      <c r="L381" s="130">
        <f>+I381*J381</f>
        <v>4.5</v>
      </c>
      <c r="M381" s="28">
        <f>+L381*$M$1</f>
        <v>144.9</v>
      </c>
      <c r="N381" s="162">
        <f>+M381/H381</f>
        <v>0.1449</v>
      </c>
      <c r="O381" s="131">
        <f t="shared" ref="O381:O390" si="36">+N381*1000</f>
        <v>144.9</v>
      </c>
      <c r="P381" s="130">
        <f t="shared" si="32"/>
        <v>0.375</v>
      </c>
    </row>
    <row r="382" spans="1:16" hidden="1" x14ac:dyDescent="0.25">
      <c r="A382" s="114" t="s">
        <v>269</v>
      </c>
      <c r="B382" s="114" t="s">
        <v>301</v>
      </c>
      <c r="C382" s="114">
        <v>501</v>
      </c>
      <c r="D382" s="114">
        <v>1000</v>
      </c>
      <c r="E382" s="1" t="s">
        <v>265</v>
      </c>
      <c r="F382" s="35">
        <v>501</v>
      </c>
      <c r="G382" s="35">
        <v>1000</v>
      </c>
      <c r="H382" s="127">
        <v>1000</v>
      </c>
      <c r="I382" s="138">
        <v>1.5</v>
      </c>
      <c r="J382" s="138">
        <v>3.5</v>
      </c>
      <c r="K382" s="136"/>
      <c r="L382" s="130">
        <f>+I382*J382</f>
        <v>5.25</v>
      </c>
      <c r="M382" s="28">
        <f>+L382*$M$1</f>
        <v>169.05</v>
      </c>
      <c r="N382" s="162">
        <f>+M382/H382</f>
        <v>0.16905000000000001</v>
      </c>
      <c r="O382" s="131">
        <f t="shared" si="36"/>
        <v>169.05</v>
      </c>
      <c r="P382" s="130">
        <f t="shared" si="32"/>
        <v>0.4375</v>
      </c>
    </row>
    <row r="383" spans="1:16" x14ac:dyDescent="0.25">
      <c r="A383" s="114" t="s">
        <v>270</v>
      </c>
      <c r="B383" s="114" t="s">
        <v>301</v>
      </c>
      <c r="C383" s="114">
        <v>151</v>
      </c>
      <c r="D383" s="114">
        <v>300</v>
      </c>
      <c r="E383" s="1" t="s">
        <v>264</v>
      </c>
      <c r="F383" s="35">
        <v>5001</v>
      </c>
      <c r="G383" s="35">
        <v>25000</v>
      </c>
      <c r="H383" s="127">
        <v>25000</v>
      </c>
      <c r="I383" s="138">
        <v>2.5</v>
      </c>
      <c r="J383" s="137"/>
      <c r="K383" s="138">
        <v>800</v>
      </c>
      <c r="L383" s="130">
        <f>I383*(H383/K383)</f>
        <v>78.125</v>
      </c>
      <c r="M383" s="28">
        <f>+L383*$M$1</f>
        <v>2515.625</v>
      </c>
      <c r="N383" s="162">
        <f>+M383/H383</f>
        <v>0.10062500000000001</v>
      </c>
      <c r="O383" s="131">
        <f t="shared" si="36"/>
        <v>100.625</v>
      </c>
      <c r="P383" s="130">
        <f t="shared" si="32"/>
        <v>0</v>
      </c>
    </row>
    <row r="384" spans="1:16" x14ac:dyDescent="0.25">
      <c r="A384" s="114" t="s">
        <v>270</v>
      </c>
      <c r="B384" s="114" t="s">
        <v>301</v>
      </c>
      <c r="C384" s="114">
        <v>301</v>
      </c>
      <c r="D384" s="114">
        <v>500</v>
      </c>
      <c r="E384" s="1" t="s">
        <v>264</v>
      </c>
      <c r="F384" s="35">
        <v>5001</v>
      </c>
      <c r="G384" s="35">
        <v>25000</v>
      </c>
      <c r="H384" s="127">
        <v>25000</v>
      </c>
      <c r="I384" s="138">
        <v>2.5</v>
      </c>
      <c r="J384" s="137"/>
      <c r="K384" s="138">
        <v>800</v>
      </c>
      <c r="L384" s="130">
        <f>I384*(H384/K384)</f>
        <v>78.125</v>
      </c>
      <c r="M384" s="28">
        <f>+L384*$M$1</f>
        <v>2515.625</v>
      </c>
      <c r="N384" s="162">
        <f>+M384/H384</f>
        <v>0.10062500000000001</v>
      </c>
      <c r="O384" s="131">
        <f t="shared" si="36"/>
        <v>100.625</v>
      </c>
      <c r="P384" s="130">
        <f t="shared" si="32"/>
        <v>0</v>
      </c>
    </row>
    <row r="385" spans="1:16" x14ac:dyDescent="0.25">
      <c r="A385" s="114" t="s">
        <v>270</v>
      </c>
      <c r="B385" s="114" t="s">
        <v>301</v>
      </c>
      <c r="C385" s="114">
        <v>501</v>
      </c>
      <c r="D385" s="114">
        <v>1000</v>
      </c>
      <c r="E385" s="1" t="s">
        <v>264</v>
      </c>
      <c r="F385" s="35">
        <v>5001</v>
      </c>
      <c r="G385" s="35">
        <v>25000</v>
      </c>
      <c r="H385" s="127">
        <v>25000</v>
      </c>
      <c r="I385" s="138">
        <v>2.5</v>
      </c>
      <c r="J385" s="137"/>
      <c r="K385" s="138">
        <v>800</v>
      </c>
      <c r="L385" s="130">
        <f>I385*(H385/K385)</f>
        <v>78.125</v>
      </c>
      <c r="M385" s="28">
        <f>+L385*$M$1</f>
        <v>2515.625</v>
      </c>
      <c r="N385" s="162">
        <f>+M385/H385</f>
        <v>0.10062500000000001</v>
      </c>
      <c r="O385" s="131">
        <f t="shared" si="36"/>
        <v>100.625</v>
      </c>
      <c r="P385" s="130">
        <f t="shared" si="32"/>
        <v>0</v>
      </c>
    </row>
    <row r="386" spans="1:16" hidden="1" x14ac:dyDescent="0.25">
      <c r="A386" s="114" t="s">
        <v>269</v>
      </c>
      <c r="B386" s="114" t="s">
        <v>301</v>
      </c>
      <c r="C386" s="114">
        <v>501</v>
      </c>
      <c r="D386" s="114">
        <v>1000</v>
      </c>
      <c r="E386" s="1" t="s">
        <v>264</v>
      </c>
      <c r="F386" s="35">
        <v>501</v>
      </c>
      <c r="G386" s="35">
        <v>1000</v>
      </c>
      <c r="H386" s="127">
        <v>1000</v>
      </c>
      <c r="I386" s="138">
        <v>2.5</v>
      </c>
      <c r="J386" s="138">
        <v>3</v>
      </c>
      <c r="K386" s="136"/>
      <c r="L386" s="130">
        <f>+I386*J386</f>
        <v>7.5</v>
      </c>
      <c r="M386" s="28">
        <f>+L386*$M$1</f>
        <v>241.50000000000003</v>
      </c>
      <c r="N386" s="162">
        <f>+M386/H386</f>
        <v>0.24150000000000002</v>
      </c>
      <c r="O386" s="131">
        <f t="shared" si="36"/>
        <v>241.50000000000003</v>
      </c>
      <c r="P386" s="130">
        <f t="shared" si="32"/>
        <v>0.375</v>
      </c>
    </row>
    <row r="387" spans="1:16" hidden="1" x14ac:dyDescent="0.25">
      <c r="A387" s="114" t="s">
        <v>269</v>
      </c>
      <c r="B387" s="114" t="s">
        <v>301</v>
      </c>
      <c r="C387" s="114">
        <v>501</v>
      </c>
      <c r="D387" s="114">
        <v>1000</v>
      </c>
      <c r="E387" s="1" t="s">
        <v>266</v>
      </c>
      <c r="F387" s="35">
        <v>501</v>
      </c>
      <c r="G387" s="35">
        <v>1000</v>
      </c>
      <c r="H387" s="127">
        <v>1000</v>
      </c>
      <c r="I387" s="138">
        <v>2.5</v>
      </c>
      <c r="J387" s="138">
        <v>3.5</v>
      </c>
      <c r="K387" s="136"/>
      <c r="L387" s="130">
        <f>+I387*J387</f>
        <v>8.75</v>
      </c>
      <c r="M387" s="28">
        <f>+L387*$M$1</f>
        <v>281.75</v>
      </c>
      <c r="N387" s="162">
        <f>+M387/H387</f>
        <v>0.28175</v>
      </c>
      <c r="O387" s="131">
        <f t="shared" si="36"/>
        <v>281.75</v>
      </c>
      <c r="P387" s="130">
        <f t="shared" si="32"/>
        <v>0.4375</v>
      </c>
    </row>
    <row r="388" spans="1:16" hidden="1" x14ac:dyDescent="0.25">
      <c r="A388" s="114" t="s">
        <v>269</v>
      </c>
      <c r="B388" s="114" t="s">
        <v>301</v>
      </c>
      <c r="C388" s="114">
        <v>501</v>
      </c>
      <c r="D388" s="114">
        <v>1000</v>
      </c>
      <c r="E388" s="1" t="s">
        <v>17</v>
      </c>
      <c r="F388" s="35">
        <v>501</v>
      </c>
      <c r="G388" s="35">
        <v>1000</v>
      </c>
      <c r="H388" s="127">
        <v>1000</v>
      </c>
      <c r="I388" s="138">
        <v>3.5</v>
      </c>
      <c r="J388" s="138">
        <v>2.5</v>
      </c>
      <c r="K388" s="136"/>
      <c r="L388" s="130">
        <f>+I388*J388</f>
        <v>8.75</v>
      </c>
      <c r="M388" s="28">
        <f>+L388*$M$1</f>
        <v>281.75</v>
      </c>
      <c r="N388" s="162">
        <f>+M388/H388</f>
        <v>0.28175</v>
      </c>
      <c r="O388" s="131">
        <f t="shared" si="36"/>
        <v>281.75</v>
      </c>
      <c r="P388" s="130">
        <f t="shared" si="32"/>
        <v>0.3125</v>
      </c>
    </row>
    <row r="389" spans="1:16" hidden="1" x14ac:dyDescent="0.25">
      <c r="A389" s="114" t="s">
        <v>269</v>
      </c>
      <c r="B389" s="114" t="s">
        <v>301</v>
      </c>
      <c r="C389" s="114">
        <v>501</v>
      </c>
      <c r="D389" s="114">
        <v>1000</v>
      </c>
      <c r="E389" s="1" t="s">
        <v>50</v>
      </c>
      <c r="F389" s="35">
        <v>501</v>
      </c>
      <c r="G389" s="35">
        <v>1000</v>
      </c>
      <c r="H389" s="127">
        <v>1000</v>
      </c>
      <c r="I389" s="138">
        <v>4.5</v>
      </c>
      <c r="J389" s="139">
        <v>3</v>
      </c>
      <c r="K389" s="136"/>
      <c r="L389" s="130">
        <f>+I389*J389</f>
        <v>13.5</v>
      </c>
      <c r="M389" s="28">
        <f>+L389*$M$1</f>
        <v>434.70000000000005</v>
      </c>
      <c r="N389" s="162">
        <f>+M389/H389</f>
        <v>0.43470000000000003</v>
      </c>
      <c r="O389" s="131">
        <f t="shared" si="36"/>
        <v>434.70000000000005</v>
      </c>
      <c r="P389" s="130">
        <f t="shared" si="32"/>
        <v>0.375</v>
      </c>
    </row>
    <row r="390" spans="1:16" hidden="1" x14ac:dyDescent="0.25">
      <c r="A390" s="114" t="s">
        <v>269</v>
      </c>
      <c r="B390" s="114" t="s">
        <v>301</v>
      </c>
      <c r="C390" s="114">
        <v>501</v>
      </c>
      <c r="D390" s="114">
        <v>1000</v>
      </c>
      <c r="E390" s="1" t="s">
        <v>263</v>
      </c>
      <c r="F390" s="35">
        <v>1001</v>
      </c>
      <c r="G390" s="35">
        <v>2500</v>
      </c>
      <c r="H390" s="127">
        <v>2500</v>
      </c>
      <c r="I390" s="138">
        <v>1.5</v>
      </c>
      <c r="J390" s="137"/>
      <c r="K390" s="138">
        <v>550</v>
      </c>
      <c r="L390" s="130">
        <f>I390*(H390/K390)</f>
        <v>6.8181818181818183</v>
      </c>
      <c r="M390" s="28">
        <f>+L390*$M$1</f>
        <v>219.54545454545456</v>
      </c>
      <c r="N390" s="162">
        <f>+M390/H390</f>
        <v>8.7818181818181823E-2</v>
      </c>
      <c r="O390" s="131">
        <f t="shared" si="36"/>
        <v>87.818181818181827</v>
      </c>
      <c r="P390" s="130">
        <f t="shared" si="32"/>
        <v>0</v>
      </c>
    </row>
    <row r="391" spans="1:16" hidden="1" x14ac:dyDescent="0.25">
      <c r="A391" s="114" t="s">
        <v>269</v>
      </c>
      <c r="B391" s="114" t="s">
        <v>301</v>
      </c>
      <c r="C391" s="114">
        <v>501</v>
      </c>
      <c r="D391" s="114">
        <v>1000</v>
      </c>
      <c r="E391" s="1" t="s">
        <v>265</v>
      </c>
      <c r="F391" s="35">
        <v>1001</v>
      </c>
      <c r="G391" s="35">
        <v>2500</v>
      </c>
      <c r="H391" s="127">
        <v>2500</v>
      </c>
      <c r="I391" s="138">
        <v>1.5</v>
      </c>
      <c r="J391" s="137"/>
      <c r="K391" s="138">
        <v>450</v>
      </c>
      <c r="L391" s="130">
        <f>I391*(H391/K391)</f>
        <v>8.3333333333333321</v>
      </c>
      <c r="M391" s="28">
        <f>+L391*$M$1</f>
        <v>268.33333333333331</v>
      </c>
      <c r="N391" s="162">
        <f>+M391/H391</f>
        <v>0.10733333333333332</v>
      </c>
      <c r="O391" s="131">
        <f>+N391*1000</f>
        <v>107.33333333333333</v>
      </c>
      <c r="P391" s="130">
        <f t="shared" si="32"/>
        <v>0</v>
      </c>
    </row>
    <row r="392" spans="1:16" hidden="1" x14ac:dyDescent="0.25">
      <c r="A392" s="114" t="s">
        <v>269</v>
      </c>
      <c r="B392" s="114" t="s">
        <v>301</v>
      </c>
      <c r="C392" s="114">
        <v>501</v>
      </c>
      <c r="D392" s="114">
        <v>1000</v>
      </c>
      <c r="E392" s="1" t="s">
        <v>264</v>
      </c>
      <c r="F392" s="35">
        <v>1001</v>
      </c>
      <c r="G392" s="35">
        <v>2500</v>
      </c>
      <c r="H392" s="127">
        <v>2500</v>
      </c>
      <c r="I392" s="138">
        <v>2.5</v>
      </c>
      <c r="J392" s="137"/>
      <c r="K392" s="138">
        <v>550</v>
      </c>
      <c r="L392" s="130">
        <f>I392*(H392/K392)</f>
        <v>11.363636363636365</v>
      </c>
      <c r="M392" s="28">
        <f>+L392*$M$1</f>
        <v>365.90909090909099</v>
      </c>
      <c r="N392" s="162">
        <f>+M392/H392</f>
        <v>0.14636363636363639</v>
      </c>
      <c r="O392" s="131">
        <f>+N392*1000</f>
        <v>146.3636363636364</v>
      </c>
      <c r="P392" s="130">
        <f t="shared" si="32"/>
        <v>0</v>
      </c>
    </row>
    <row r="393" spans="1:16" hidden="1" x14ac:dyDescent="0.25">
      <c r="A393" s="114" t="s">
        <v>269</v>
      </c>
      <c r="B393" s="114" t="s">
        <v>301</v>
      </c>
      <c r="C393" s="114">
        <v>501</v>
      </c>
      <c r="D393" s="114">
        <v>1000</v>
      </c>
      <c r="E393" s="1" t="s">
        <v>266</v>
      </c>
      <c r="F393" s="35">
        <v>1001</v>
      </c>
      <c r="G393" s="35">
        <v>2500</v>
      </c>
      <c r="H393" s="127">
        <v>2500</v>
      </c>
      <c r="I393" s="138">
        <v>2.5</v>
      </c>
      <c r="J393" s="137"/>
      <c r="K393" s="138">
        <v>450</v>
      </c>
      <c r="L393" s="130">
        <f>I393*(H393/K393)</f>
        <v>13.888888888888889</v>
      </c>
      <c r="M393" s="28">
        <f>+L393*$M$1</f>
        <v>447.22222222222229</v>
      </c>
      <c r="N393" s="162">
        <f>+M393/H393</f>
        <v>0.1788888888888889</v>
      </c>
      <c r="O393" s="131">
        <f t="shared" ref="O393:O396" si="37">+N393*1000</f>
        <v>178.88888888888891</v>
      </c>
      <c r="P393" s="130">
        <f t="shared" si="32"/>
        <v>0</v>
      </c>
    </row>
    <row r="394" spans="1:16" hidden="1" x14ac:dyDescent="0.25">
      <c r="A394" s="114" t="s">
        <v>269</v>
      </c>
      <c r="B394" s="114" t="s">
        <v>301</v>
      </c>
      <c r="C394" s="114">
        <v>501</v>
      </c>
      <c r="D394" s="114">
        <v>1000</v>
      </c>
      <c r="E394" s="1" t="s">
        <v>17</v>
      </c>
      <c r="F394" s="35">
        <v>1001</v>
      </c>
      <c r="G394" s="35">
        <v>2500</v>
      </c>
      <c r="H394" s="127">
        <v>2500</v>
      </c>
      <c r="I394" s="138">
        <v>3.5</v>
      </c>
      <c r="J394" s="137"/>
      <c r="K394" s="138">
        <v>450</v>
      </c>
      <c r="L394" s="130">
        <f>I394*(H394/K394)</f>
        <v>19.444444444444443</v>
      </c>
      <c r="M394" s="28">
        <f>+L394*$M$1</f>
        <v>626.11111111111109</v>
      </c>
      <c r="N394" s="162">
        <f>+M394/H394</f>
        <v>0.25044444444444441</v>
      </c>
      <c r="O394" s="131">
        <f t="shared" si="37"/>
        <v>250.4444444444444</v>
      </c>
      <c r="P394" s="130">
        <f t="shared" si="32"/>
        <v>0</v>
      </c>
    </row>
    <row r="395" spans="1:16" hidden="1" x14ac:dyDescent="0.25">
      <c r="A395" s="114" t="s">
        <v>269</v>
      </c>
      <c r="B395" s="114" t="s">
        <v>301</v>
      </c>
      <c r="C395" s="114">
        <v>501</v>
      </c>
      <c r="D395" s="114">
        <v>1000</v>
      </c>
      <c r="E395" s="1" t="s">
        <v>50</v>
      </c>
      <c r="F395" s="35">
        <v>1001</v>
      </c>
      <c r="G395" s="35">
        <v>2500</v>
      </c>
      <c r="H395" s="127">
        <v>2500</v>
      </c>
      <c r="I395" s="138">
        <v>4.5</v>
      </c>
      <c r="J395" s="137"/>
      <c r="K395" s="138">
        <v>375</v>
      </c>
      <c r="L395" s="130">
        <f>I395*(H395/K395)</f>
        <v>30</v>
      </c>
      <c r="M395" s="28">
        <f>+L395*$M$1</f>
        <v>966.00000000000011</v>
      </c>
      <c r="N395" s="162">
        <f>+M395/H395</f>
        <v>0.38640000000000002</v>
      </c>
      <c r="O395" s="131">
        <f t="shared" si="37"/>
        <v>386.40000000000003</v>
      </c>
      <c r="P395" s="130">
        <f t="shared" si="32"/>
        <v>0</v>
      </c>
    </row>
    <row r="396" spans="1:16" hidden="1" x14ac:dyDescent="0.25">
      <c r="A396" s="114" t="s">
        <v>269</v>
      </c>
      <c r="B396" s="114" t="s">
        <v>301</v>
      </c>
      <c r="C396" s="114">
        <v>501</v>
      </c>
      <c r="D396" s="114">
        <v>1000</v>
      </c>
      <c r="E396" s="1" t="s">
        <v>263</v>
      </c>
      <c r="F396" s="35">
        <v>2501</v>
      </c>
      <c r="G396" s="35">
        <v>5000</v>
      </c>
      <c r="H396" s="127">
        <v>5000</v>
      </c>
      <c r="I396" s="138">
        <v>1.5</v>
      </c>
      <c r="J396" s="137"/>
      <c r="K396" s="138">
        <v>650</v>
      </c>
      <c r="L396" s="130">
        <f>I396*(H396/K396)</f>
        <v>11.538461538461538</v>
      </c>
      <c r="M396" s="28">
        <f>+L396*$M$1</f>
        <v>371.53846153846155</v>
      </c>
      <c r="N396" s="162">
        <f>+M396/H396</f>
        <v>7.4307692307692311E-2</v>
      </c>
      <c r="O396" s="131">
        <f t="shared" si="37"/>
        <v>74.307692307692307</v>
      </c>
      <c r="P396" s="130">
        <f t="shared" si="32"/>
        <v>0</v>
      </c>
    </row>
    <row r="397" spans="1:16" hidden="1" x14ac:dyDescent="0.25">
      <c r="A397" s="114" t="s">
        <v>269</v>
      </c>
      <c r="B397" s="114" t="s">
        <v>301</v>
      </c>
      <c r="C397" s="114">
        <v>501</v>
      </c>
      <c r="D397" s="114">
        <v>1000</v>
      </c>
      <c r="E397" s="1" t="s">
        <v>265</v>
      </c>
      <c r="F397" s="35">
        <v>2501</v>
      </c>
      <c r="G397" s="35">
        <v>5000</v>
      </c>
      <c r="H397" s="127">
        <v>5000</v>
      </c>
      <c r="I397" s="138">
        <v>1.5</v>
      </c>
      <c r="J397" s="137"/>
      <c r="K397" s="138">
        <v>550</v>
      </c>
      <c r="L397" s="130">
        <f>I397*(H397/K397)</f>
        <v>13.636363636363637</v>
      </c>
      <c r="M397" s="28">
        <f>+L397*$M$1</f>
        <v>439.09090909090912</v>
      </c>
      <c r="N397" s="162">
        <f>+M397/H397</f>
        <v>8.7818181818181823E-2</v>
      </c>
      <c r="O397" s="131">
        <f>+N397*1000</f>
        <v>87.818181818181827</v>
      </c>
      <c r="P397" s="130">
        <f t="shared" si="32"/>
        <v>0</v>
      </c>
    </row>
    <row r="398" spans="1:16" x14ac:dyDescent="0.25">
      <c r="A398" s="114" t="s">
        <v>270</v>
      </c>
      <c r="B398" s="114" t="s">
        <v>301</v>
      </c>
      <c r="C398" s="114">
        <v>151</v>
      </c>
      <c r="D398" s="114">
        <v>300</v>
      </c>
      <c r="E398" s="1" t="s">
        <v>17</v>
      </c>
      <c r="F398" s="35">
        <v>5001</v>
      </c>
      <c r="G398" s="35">
        <v>25000</v>
      </c>
      <c r="H398" s="127">
        <v>25000</v>
      </c>
      <c r="I398" s="138">
        <v>3.5</v>
      </c>
      <c r="J398" s="137"/>
      <c r="K398" s="138">
        <v>650</v>
      </c>
      <c r="L398" s="130">
        <f>I398*(H398/K398)</f>
        <v>134.61538461538461</v>
      </c>
      <c r="M398" s="28">
        <f>+L398*$M$1</f>
        <v>4334.6153846153848</v>
      </c>
      <c r="N398" s="162">
        <f>+M398/H398</f>
        <v>0.17338461538461539</v>
      </c>
      <c r="O398" s="131">
        <f>+N398*1000</f>
        <v>173.38461538461539</v>
      </c>
      <c r="P398" s="130">
        <f t="shared" si="32"/>
        <v>0</v>
      </c>
    </row>
    <row r="399" spans="1:16" x14ac:dyDescent="0.25">
      <c r="A399" s="114" t="s">
        <v>270</v>
      </c>
      <c r="B399" s="114" t="s">
        <v>301</v>
      </c>
      <c r="C399" s="114">
        <v>301</v>
      </c>
      <c r="D399" s="114">
        <v>500</v>
      </c>
      <c r="E399" s="1" t="s">
        <v>17</v>
      </c>
      <c r="F399" s="35">
        <v>5001</v>
      </c>
      <c r="G399" s="35">
        <v>25000</v>
      </c>
      <c r="H399" s="127">
        <v>25000</v>
      </c>
      <c r="I399" s="138">
        <v>3.5</v>
      </c>
      <c r="J399" s="137"/>
      <c r="K399" s="138">
        <v>650</v>
      </c>
      <c r="L399" s="130">
        <f>I399*(H399/K399)</f>
        <v>134.61538461538461</v>
      </c>
      <c r="M399" s="28">
        <f>+L399*$M$1</f>
        <v>4334.6153846153848</v>
      </c>
      <c r="N399" s="162">
        <f>+M399/H399</f>
        <v>0.17338461538461539</v>
      </c>
      <c r="O399" s="131">
        <f t="shared" ref="O399:O423" si="38">+N399*1000</f>
        <v>173.38461538461539</v>
      </c>
      <c r="P399" s="130">
        <f t="shared" ref="P399:P408" si="39">+J399/8</f>
        <v>0</v>
      </c>
    </row>
    <row r="400" spans="1:16" x14ac:dyDescent="0.25">
      <c r="A400" s="114" t="s">
        <v>270</v>
      </c>
      <c r="B400" s="114" t="s">
        <v>301</v>
      </c>
      <c r="C400" s="114">
        <v>501</v>
      </c>
      <c r="D400" s="114">
        <v>1000</v>
      </c>
      <c r="E400" s="1" t="s">
        <v>17</v>
      </c>
      <c r="F400" s="35">
        <v>5001</v>
      </c>
      <c r="G400" s="35">
        <v>25000</v>
      </c>
      <c r="H400" s="127">
        <v>25000</v>
      </c>
      <c r="I400" s="138">
        <v>3.5</v>
      </c>
      <c r="J400" s="137"/>
      <c r="K400" s="138">
        <v>650</v>
      </c>
      <c r="L400" s="130">
        <f>I400*(H400/K400)</f>
        <v>134.61538461538461</v>
      </c>
      <c r="M400" s="28">
        <f>+L400*$M$1</f>
        <v>4334.6153846153848</v>
      </c>
      <c r="N400" s="162">
        <f>+M400/H400</f>
        <v>0.17338461538461539</v>
      </c>
      <c r="O400" s="131">
        <f t="shared" si="38"/>
        <v>173.38461538461539</v>
      </c>
      <c r="P400" s="130">
        <f t="shared" si="39"/>
        <v>0</v>
      </c>
    </row>
    <row r="401" spans="1:16" hidden="1" x14ac:dyDescent="0.25">
      <c r="A401" s="114" t="s">
        <v>269</v>
      </c>
      <c r="B401" s="114" t="s">
        <v>301</v>
      </c>
      <c r="C401" s="114">
        <v>501</v>
      </c>
      <c r="D401" s="114">
        <v>1000</v>
      </c>
      <c r="E401" s="1" t="s">
        <v>264</v>
      </c>
      <c r="F401" s="35">
        <v>2501</v>
      </c>
      <c r="G401" s="35">
        <v>5000</v>
      </c>
      <c r="H401" s="127">
        <v>5000</v>
      </c>
      <c r="I401" s="138">
        <v>2.5</v>
      </c>
      <c r="J401" s="137"/>
      <c r="K401" s="138">
        <v>650</v>
      </c>
      <c r="L401" s="130">
        <f>I401*(H401/K401)</f>
        <v>19.23076923076923</v>
      </c>
      <c r="M401" s="28">
        <f>+L401*$M$1</f>
        <v>619.23076923076928</v>
      </c>
      <c r="N401" s="162">
        <f>+M401/H401</f>
        <v>0.12384615384615386</v>
      </c>
      <c r="O401" s="131">
        <f t="shared" si="38"/>
        <v>123.84615384615385</v>
      </c>
      <c r="P401" s="130">
        <f t="shared" si="39"/>
        <v>0</v>
      </c>
    </row>
    <row r="402" spans="1:16" hidden="1" x14ac:dyDescent="0.25">
      <c r="A402" s="114" t="s">
        <v>269</v>
      </c>
      <c r="B402" s="114" t="s">
        <v>301</v>
      </c>
      <c r="C402" s="114">
        <v>501</v>
      </c>
      <c r="D402" s="114">
        <v>1000</v>
      </c>
      <c r="E402" s="1" t="s">
        <v>266</v>
      </c>
      <c r="F402" s="35">
        <v>2501</v>
      </c>
      <c r="G402" s="35">
        <v>5000</v>
      </c>
      <c r="H402" s="127">
        <v>5000</v>
      </c>
      <c r="I402" s="138">
        <v>2.5</v>
      </c>
      <c r="J402" s="137"/>
      <c r="K402" s="138">
        <v>550</v>
      </c>
      <c r="L402" s="130">
        <f>I402*(H402/K402)</f>
        <v>22.72727272727273</v>
      </c>
      <c r="M402" s="28">
        <f>+L402*$M$1</f>
        <v>731.81818181818198</v>
      </c>
      <c r="N402" s="162">
        <f>+M402/H402</f>
        <v>0.14636363636363639</v>
      </c>
      <c r="O402" s="131">
        <f t="shared" si="38"/>
        <v>146.3636363636364</v>
      </c>
      <c r="P402" s="130">
        <f t="shared" si="39"/>
        <v>0</v>
      </c>
    </row>
    <row r="403" spans="1:16" hidden="1" x14ac:dyDescent="0.25">
      <c r="A403" s="114" t="s">
        <v>269</v>
      </c>
      <c r="B403" s="114" t="s">
        <v>301</v>
      </c>
      <c r="C403" s="114">
        <v>501</v>
      </c>
      <c r="D403" s="114">
        <v>1000</v>
      </c>
      <c r="E403" s="1" t="s">
        <v>17</v>
      </c>
      <c r="F403" s="35">
        <v>2501</v>
      </c>
      <c r="G403" s="35">
        <v>5000</v>
      </c>
      <c r="H403" s="127">
        <v>5000</v>
      </c>
      <c r="I403" s="138">
        <v>3.5</v>
      </c>
      <c r="J403" s="137"/>
      <c r="K403" s="138">
        <v>500</v>
      </c>
      <c r="L403" s="130">
        <f>I403*(H403/K403)</f>
        <v>35</v>
      </c>
      <c r="M403" s="28">
        <f>+L403*$M$1</f>
        <v>1127</v>
      </c>
      <c r="N403" s="162">
        <f>+M403/H403</f>
        <v>0.22539999999999999</v>
      </c>
      <c r="O403" s="131">
        <f t="shared" si="38"/>
        <v>225.39999999999998</v>
      </c>
      <c r="P403" s="130">
        <f t="shared" si="39"/>
        <v>0</v>
      </c>
    </row>
    <row r="404" spans="1:16" x14ac:dyDescent="0.25">
      <c r="A404" s="114" t="s">
        <v>270</v>
      </c>
      <c r="B404" s="114" t="s">
        <v>301</v>
      </c>
      <c r="C404" s="114">
        <v>501</v>
      </c>
      <c r="D404" s="114">
        <v>1000</v>
      </c>
      <c r="E404" s="1" t="s">
        <v>18</v>
      </c>
      <c r="F404" s="35">
        <v>0</v>
      </c>
      <c r="G404" s="35">
        <v>500</v>
      </c>
      <c r="H404" s="127">
        <v>500</v>
      </c>
      <c r="I404" s="138">
        <v>3.5</v>
      </c>
      <c r="J404" s="138">
        <v>2.5</v>
      </c>
      <c r="K404" s="136"/>
      <c r="L404">
        <f>+I404*J404</f>
        <v>8.75</v>
      </c>
      <c r="M404" s="28">
        <f>+L404*$M$1</f>
        <v>281.75</v>
      </c>
      <c r="N404" s="162">
        <f>+M404/H404</f>
        <v>0.5635</v>
      </c>
      <c r="O404" s="131">
        <f t="shared" si="38"/>
        <v>563.5</v>
      </c>
      <c r="P404" s="130">
        <f t="shared" si="39"/>
        <v>0.3125</v>
      </c>
    </row>
    <row r="405" spans="1:16" hidden="1" x14ac:dyDescent="0.25">
      <c r="A405" s="114" t="s">
        <v>269</v>
      </c>
      <c r="B405" s="114" t="s">
        <v>301</v>
      </c>
      <c r="C405" s="114">
        <v>501</v>
      </c>
      <c r="D405" s="114">
        <v>1000</v>
      </c>
      <c r="E405" s="1" t="s">
        <v>50</v>
      </c>
      <c r="F405" s="35">
        <v>2501</v>
      </c>
      <c r="G405" s="35">
        <v>5000</v>
      </c>
      <c r="H405" s="127">
        <v>5000</v>
      </c>
      <c r="I405" s="138">
        <v>4.5</v>
      </c>
      <c r="J405" s="137"/>
      <c r="K405" s="138">
        <v>400</v>
      </c>
      <c r="L405" s="130">
        <f>I405*(H405/K405)</f>
        <v>56.25</v>
      </c>
      <c r="M405" s="28">
        <f>+L405*$M$1</f>
        <v>1811.2500000000002</v>
      </c>
      <c r="N405" s="162">
        <f>+M405/H405</f>
        <v>0.36225000000000007</v>
      </c>
      <c r="O405" s="131">
        <f t="shared" si="38"/>
        <v>362.25000000000006</v>
      </c>
      <c r="P405" s="130">
        <f t="shared" si="39"/>
        <v>0</v>
      </c>
    </row>
    <row r="406" spans="1:16" hidden="1" x14ac:dyDescent="0.25">
      <c r="A406" s="114" t="s">
        <v>269</v>
      </c>
      <c r="B406" s="114" t="s">
        <v>301</v>
      </c>
      <c r="C406" s="114">
        <v>501</v>
      </c>
      <c r="D406" s="114">
        <v>1000</v>
      </c>
      <c r="E406" s="1" t="s">
        <v>263</v>
      </c>
      <c r="F406" s="35">
        <v>5001</v>
      </c>
      <c r="G406" s="35">
        <v>25000</v>
      </c>
      <c r="H406" s="127">
        <v>25000</v>
      </c>
      <c r="I406" s="138">
        <v>1.5</v>
      </c>
      <c r="J406" s="137"/>
      <c r="K406" s="138">
        <v>800</v>
      </c>
      <c r="L406" s="130">
        <f>I406*(H406/K406)</f>
        <v>46.875</v>
      </c>
      <c r="M406" s="28">
        <f>+L406*$M$1</f>
        <v>1509.3750000000002</v>
      </c>
      <c r="N406" s="162">
        <f>+M406/H406</f>
        <v>6.0375000000000012E-2</v>
      </c>
      <c r="O406" s="131">
        <f t="shared" si="38"/>
        <v>60.375000000000014</v>
      </c>
      <c r="P406" s="130">
        <f t="shared" si="39"/>
        <v>0</v>
      </c>
    </row>
    <row r="407" spans="1:16" hidden="1" x14ac:dyDescent="0.25">
      <c r="A407" s="114" t="s">
        <v>269</v>
      </c>
      <c r="B407" s="114" t="s">
        <v>301</v>
      </c>
      <c r="C407" s="114">
        <v>501</v>
      </c>
      <c r="D407" s="114">
        <v>1000</v>
      </c>
      <c r="E407" s="1" t="s">
        <v>265</v>
      </c>
      <c r="F407" s="35">
        <v>5001</v>
      </c>
      <c r="G407" s="35">
        <v>25000</v>
      </c>
      <c r="H407" s="127">
        <v>25000</v>
      </c>
      <c r="I407" s="138">
        <v>1.5</v>
      </c>
      <c r="J407" s="137"/>
      <c r="K407" s="138">
        <v>700</v>
      </c>
      <c r="L407" s="130">
        <f>I407*(H407/K407)</f>
        <v>53.571428571428569</v>
      </c>
      <c r="M407" s="28">
        <f>+L407*$M$1</f>
        <v>1725</v>
      </c>
      <c r="N407" s="162">
        <f>+M407/H407</f>
        <v>6.9000000000000006E-2</v>
      </c>
      <c r="O407" s="131">
        <f t="shared" si="38"/>
        <v>69</v>
      </c>
      <c r="P407" s="130">
        <f t="shared" si="39"/>
        <v>0</v>
      </c>
    </row>
    <row r="408" spans="1:16" x14ac:dyDescent="0.25">
      <c r="A408" s="114" t="s">
        <v>270</v>
      </c>
      <c r="B408" s="114" t="s">
        <v>301</v>
      </c>
      <c r="C408" s="114">
        <v>501</v>
      </c>
      <c r="D408" s="114">
        <v>1000</v>
      </c>
      <c r="E408" s="1" t="s">
        <v>18</v>
      </c>
      <c r="F408" s="35">
        <v>501</v>
      </c>
      <c r="G408" s="35">
        <v>1000</v>
      </c>
      <c r="H408" s="127">
        <v>1000</v>
      </c>
      <c r="I408" s="138">
        <v>3.5</v>
      </c>
      <c r="J408" s="139">
        <v>3</v>
      </c>
      <c r="K408" s="136"/>
      <c r="L408">
        <f>+I408*J408</f>
        <v>10.5</v>
      </c>
      <c r="M408" s="28">
        <f>+L408*$M$1</f>
        <v>338.1</v>
      </c>
      <c r="N408" s="162">
        <f>+M408/H408</f>
        <v>0.33810000000000001</v>
      </c>
      <c r="O408" s="131">
        <f t="shared" si="38"/>
        <v>338.1</v>
      </c>
      <c r="P408" s="130">
        <f t="shared" si="39"/>
        <v>0.375</v>
      </c>
    </row>
    <row r="409" spans="1:16" hidden="1" x14ac:dyDescent="0.25">
      <c r="A409" s="114" t="s">
        <v>269</v>
      </c>
      <c r="B409" s="114" t="s">
        <v>301</v>
      </c>
      <c r="C409" s="114">
        <v>501</v>
      </c>
      <c r="D409" s="114">
        <v>1000</v>
      </c>
      <c r="E409" s="1" t="s">
        <v>264</v>
      </c>
      <c r="F409" s="35">
        <v>5001</v>
      </c>
      <c r="G409" s="35">
        <v>25000</v>
      </c>
      <c r="H409" s="127">
        <v>25000</v>
      </c>
      <c r="I409" s="138">
        <v>2.5</v>
      </c>
      <c r="J409" s="137"/>
      <c r="K409" s="138">
        <v>800</v>
      </c>
      <c r="L409" s="130">
        <f>I409*(H409/K409)</f>
        <v>78.125</v>
      </c>
      <c r="M409" s="28">
        <f>+L409*$M$1</f>
        <v>2515.625</v>
      </c>
      <c r="N409" s="162">
        <f>+M409/H409</f>
        <v>0.10062500000000001</v>
      </c>
      <c r="O409" s="131">
        <f t="shared" si="38"/>
        <v>100.625</v>
      </c>
      <c r="P409" s="130">
        <f t="shared" ref="P409:P423" si="40">+J409/8</f>
        <v>0</v>
      </c>
    </row>
    <row r="410" spans="1:16" x14ac:dyDescent="0.25">
      <c r="A410" s="114" t="s">
        <v>270</v>
      </c>
      <c r="B410" s="114" t="s">
        <v>301</v>
      </c>
      <c r="C410" s="114">
        <v>151</v>
      </c>
      <c r="D410" s="114">
        <v>300</v>
      </c>
      <c r="E410" s="1" t="s">
        <v>50</v>
      </c>
      <c r="F410" s="35">
        <v>5001</v>
      </c>
      <c r="G410" s="35">
        <v>25000</v>
      </c>
      <c r="H410" s="127">
        <v>25000</v>
      </c>
      <c r="I410" s="138">
        <v>4.5</v>
      </c>
      <c r="J410" s="137"/>
      <c r="K410" s="138">
        <v>550</v>
      </c>
      <c r="L410" s="130">
        <f>I410*(H410/K410)</f>
        <v>204.54545454545453</v>
      </c>
      <c r="M410" s="28">
        <f>+L410*$M$1</f>
        <v>6586.3636363636369</v>
      </c>
      <c r="N410" s="162">
        <f>+M410/H410</f>
        <v>0.2634545454545455</v>
      </c>
      <c r="O410" s="131">
        <f t="shared" si="38"/>
        <v>263.4545454545455</v>
      </c>
      <c r="P410" s="130">
        <f t="shared" si="40"/>
        <v>0</v>
      </c>
    </row>
    <row r="411" spans="1:16" hidden="1" x14ac:dyDescent="0.25">
      <c r="A411" s="114" t="s">
        <v>269</v>
      </c>
      <c r="B411" s="114" t="s">
        <v>301</v>
      </c>
      <c r="C411" s="114">
        <v>501</v>
      </c>
      <c r="D411" s="114">
        <v>1000</v>
      </c>
      <c r="E411" s="1" t="s">
        <v>266</v>
      </c>
      <c r="F411" s="35">
        <v>5001</v>
      </c>
      <c r="G411" s="35">
        <v>25000</v>
      </c>
      <c r="H411" s="127">
        <v>25000</v>
      </c>
      <c r="I411" s="138">
        <v>2.5</v>
      </c>
      <c r="J411" s="137"/>
      <c r="K411" s="138">
        <v>700</v>
      </c>
      <c r="L411" s="130">
        <f>I411*(H411/K411)</f>
        <v>89.285714285714292</v>
      </c>
      <c r="M411" s="28">
        <f>+L411*$M$1</f>
        <v>2875.0000000000005</v>
      </c>
      <c r="N411" s="162">
        <f>+M411/H411</f>
        <v>0.11500000000000002</v>
      </c>
      <c r="O411" s="131">
        <f t="shared" si="38"/>
        <v>115.00000000000001</v>
      </c>
      <c r="P411" s="130">
        <f t="shared" si="40"/>
        <v>0</v>
      </c>
    </row>
    <row r="412" spans="1:16" x14ac:dyDescent="0.25">
      <c r="A412" s="114" t="s">
        <v>270</v>
      </c>
      <c r="B412" s="114" t="s">
        <v>301</v>
      </c>
      <c r="C412" s="114">
        <v>501</v>
      </c>
      <c r="D412" s="114">
        <v>1000</v>
      </c>
      <c r="E412" s="1" t="s">
        <v>18</v>
      </c>
      <c r="F412" s="35">
        <v>1001</v>
      </c>
      <c r="G412" s="35">
        <v>2500</v>
      </c>
      <c r="H412" s="127">
        <v>2500</v>
      </c>
      <c r="I412" s="138">
        <v>3.5</v>
      </c>
      <c r="J412" s="137"/>
      <c r="K412" s="138">
        <v>400</v>
      </c>
      <c r="L412" s="130">
        <f>I412*(H412/K412)</f>
        <v>21.875</v>
      </c>
      <c r="M412" s="28">
        <f>+L412*$M$1</f>
        <v>704.37500000000011</v>
      </c>
      <c r="N412" s="162">
        <f>+M412/H412</f>
        <v>0.28175000000000006</v>
      </c>
      <c r="O412" s="131">
        <f t="shared" si="38"/>
        <v>281.75000000000006</v>
      </c>
      <c r="P412" s="130">
        <f t="shared" si="40"/>
        <v>0</v>
      </c>
    </row>
    <row r="413" spans="1:16" hidden="1" x14ac:dyDescent="0.25">
      <c r="A413" s="114" t="s">
        <v>269</v>
      </c>
      <c r="B413" s="114" t="s">
        <v>301</v>
      </c>
      <c r="C413" s="114">
        <v>501</v>
      </c>
      <c r="D413" s="114">
        <v>1000</v>
      </c>
      <c r="E413" s="1" t="s">
        <v>18</v>
      </c>
      <c r="F413" s="35">
        <v>0</v>
      </c>
      <c r="G413" s="35">
        <v>500</v>
      </c>
      <c r="H413" s="127">
        <v>500</v>
      </c>
      <c r="I413" s="138">
        <v>3.5</v>
      </c>
      <c r="J413" s="138">
        <v>2.5</v>
      </c>
      <c r="K413" s="136"/>
      <c r="L413">
        <f>+I413*J413</f>
        <v>8.75</v>
      </c>
      <c r="M413" s="28">
        <f>+L413*$M$1</f>
        <v>281.75</v>
      </c>
      <c r="N413" s="162">
        <f>+M413/H413</f>
        <v>0.5635</v>
      </c>
      <c r="O413" s="131">
        <f t="shared" si="38"/>
        <v>563.5</v>
      </c>
      <c r="P413" s="130">
        <f t="shared" si="40"/>
        <v>0.3125</v>
      </c>
    </row>
    <row r="414" spans="1:16" x14ac:dyDescent="0.25">
      <c r="A414" s="114" t="s">
        <v>270</v>
      </c>
      <c r="B414" s="114" t="s">
        <v>301</v>
      </c>
      <c r="C414" s="114">
        <v>301</v>
      </c>
      <c r="D414" s="114">
        <v>500</v>
      </c>
      <c r="E414" s="1" t="s">
        <v>50</v>
      </c>
      <c r="F414" s="35">
        <v>5001</v>
      </c>
      <c r="G414" s="35">
        <v>25000</v>
      </c>
      <c r="H414" s="127">
        <v>25000</v>
      </c>
      <c r="I414" s="138">
        <v>4.5</v>
      </c>
      <c r="J414" s="137"/>
      <c r="K414" s="138">
        <v>550</v>
      </c>
      <c r="L414" s="130">
        <f>I414*(H414/K414)</f>
        <v>204.54545454545453</v>
      </c>
      <c r="M414" s="28">
        <f>+L414*$M$1</f>
        <v>6586.3636363636369</v>
      </c>
      <c r="N414" s="162">
        <f>+M414/H414</f>
        <v>0.2634545454545455</v>
      </c>
      <c r="O414" s="131">
        <f t="shared" si="38"/>
        <v>263.4545454545455</v>
      </c>
      <c r="P414" s="130">
        <f t="shared" si="40"/>
        <v>0</v>
      </c>
    </row>
    <row r="415" spans="1:16" hidden="1" x14ac:dyDescent="0.25">
      <c r="A415" s="114" t="s">
        <v>269</v>
      </c>
      <c r="B415" s="114" t="s">
        <v>301</v>
      </c>
      <c r="C415" s="114">
        <v>501</v>
      </c>
      <c r="D415" s="114">
        <v>1000</v>
      </c>
      <c r="E415" s="1" t="s">
        <v>17</v>
      </c>
      <c r="F415" s="35">
        <v>5001</v>
      </c>
      <c r="G415" s="35">
        <v>25000</v>
      </c>
      <c r="H415" s="127">
        <v>25000</v>
      </c>
      <c r="I415" s="138">
        <v>3.5</v>
      </c>
      <c r="J415" s="137"/>
      <c r="K415" s="138">
        <v>550</v>
      </c>
      <c r="L415" s="130">
        <f>I415*(H415/K415)</f>
        <v>159.09090909090909</v>
      </c>
      <c r="M415" s="28">
        <f>+L415*$M$1</f>
        <v>5122.727272727273</v>
      </c>
      <c r="N415" s="162">
        <f>+M415/H415</f>
        <v>0.20490909090909093</v>
      </c>
      <c r="O415" s="131">
        <f t="shared" si="38"/>
        <v>204.90909090909093</v>
      </c>
      <c r="P415" s="130">
        <f t="shared" si="40"/>
        <v>0</v>
      </c>
    </row>
    <row r="416" spans="1:16" hidden="1" x14ac:dyDescent="0.25">
      <c r="A416" s="114" t="s">
        <v>269</v>
      </c>
      <c r="B416" s="114" t="s">
        <v>301</v>
      </c>
      <c r="C416" s="114">
        <v>501</v>
      </c>
      <c r="D416" s="114">
        <v>1000</v>
      </c>
      <c r="E416" s="1" t="s">
        <v>18</v>
      </c>
      <c r="F416" s="35">
        <v>501</v>
      </c>
      <c r="G416" s="35">
        <v>1000</v>
      </c>
      <c r="H416" s="127">
        <v>1000</v>
      </c>
      <c r="I416" s="138">
        <v>3.5</v>
      </c>
      <c r="J416" s="139">
        <v>3</v>
      </c>
      <c r="K416" s="136"/>
      <c r="L416">
        <f>+I416*J416</f>
        <v>10.5</v>
      </c>
      <c r="M416" s="28">
        <f>+L416*$M$1</f>
        <v>338.1</v>
      </c>
      <c r="N416" s="162">
        <f>+M416/H416</f>
        <v>0.33810000000000001</v>
      </c>
      <c r="O416" s="131">
        <f t="shared" si="38"/>
        <v>338.1</v>
      </c>
      <c r="P416" s="130">
        <f t="shared" si="40"/>
        <v>0.375</v>
      </c>
    </row>
    <row r="417" spans="1:16" hidden="1" x14ac:dyDescent="0.25">
      <c r="A417" s="114" t="s">
        <v>269</v>
      </c>
      <c r="B417" s="114" t="s">
        <v>301</v>
      </c>
      <c r="C417" s="114">
        <v>501</v>
      </c>
      <c r="D417" s="114">
        <v>1000</v>
      </c>
      <c r="E417" s="1" t="s">
        <v>18</v>
      </c>
      <c r="F417" s="35">
        <v>1001</v>
      </c>
      <c r="G417" s="35">
        <v>2500</v>
      </c>
      <c r="H417" s="127">
        <v>2500</v>
      </c>
      <c r="I417" s="138">
        <v>3.5</v>
      </c>
      <c r="J417" s="137"/>
      <c r="K417" s="138">
        <v>375</v>
      </c>
      <c r="L417" s="130">
        <f>I417*(H417/K417)</f>
        <v>23.333333333333336</v>
      </c>
      <c r="M417" s="28">
        <f>+L417*$M$1</f>
        <v>751.33333333333348</v>
      </c>
      <c r="N417" s="162">
        <f>+M417/H417</f>
        <v>0.30053333333333337</v>
      </c>
      <c r="O417" s="131">
        <f t="shared" si="38"/>
        <v>300.53333333333336</v>
      </c>
      <c r="P417" s="130">
        <f t="shared" si="40"/>
        <v>0</v>
      </c>
    </row>
    <row r="418" spans="1:16" hidden="1" x14ac:dyDescent="0.25">
      <c r="A418" s="114" t="s">
        <v>269</v>
      </c>
      <c r="B418" s="114" t="s">
        <v>301</v>
      </c>
      <c r="C418" s="114">
        <v>501</v>
      </c>
      <c r="D418" s="114">
        <v>1000</v>
      </c>
      <c r="E418" s="1" t="s">
        <v>18</v>
      </c>
      <c r="F418" s="35">
        <v>2501</v>
      </c>
      <c r="G418" s="35">
        <v>5000</v>
      </c>
      <c r="H418" s="127">
        <v>5000</v>
      </c>
      <c r="I418" s="138">
        <v>3.5</v>
      </c>
      <c r="J418" s="137"/>
      <c r="K418" s="138">
        <v>400</v>
      </c>
      <c r="L418" s="130">
        <f>I418*(H418/K418)</f>
        <v>43.75</v>
      </c>
      <c r="M418" s="28">
        <f>+L418*$M$1</f>
        <v>1408.7500000000002</v>
      </c>
      <c r="N418" s="162">
        <f>+M418/H418</f>
        <v>0.28175000000000006</v>
      </c>
      <c r="O418" s="131">
        <f t="shared" si="38"/>
        <v>281.75000000000006</v>
      </c>
      <c r="P418" s="130">
        <f t="shared" si="40"/>
        <v>0</v>
      </c>
    </row>
    <row r="419" spans="1:16" x14ac:dyDescent="0.25">
      <c r="A419" s="114" t="s">
        <v>270</v>
      </c>
      <c r="B419" s="114" t="s">
        <v>301</v>
      </c>
      <c r="C419" s="114">
        <v>501</v>
      </c>
      <c r="D419" s="114">
        <v>1000</v>
      </c>
      <c r="E419" s="1" t="s">
        <v>18</v>
      </c>
      <c r="F419" s="35">
        <v>2501</v>
      </c>
      <c r="G419" s="35">
        <v>5000</v>
      </c>
      <c r="H419" s="127">
        <v>5000</v>
      </c>
      <c r="I419" s="138">
        <v>3.5</v>
      </c>
      <c r="J419" s="137"/>
      <c r="K419" s="138">
        <v>500</v>
      </c>
      <c r="L419" s="130">
        <f>I419*(H419/K419)</f>
        <v>35</v>
      </c>
      <c r="M419" s="28">
        <f>+L419*$M$1</f>
        <v>1127</v>
      </c>
      <c r="N419" s="162">
        <f>+M419/H419</f>
        <v>0.22539999999999999</v>
      </c>
      <c r="O419" s="131">
        <f t="shared" si="38"/>
        <v>225.39999999999998</v>
      </c>
      <c r="P419" s="130">
        <f t="shared" si="40"/>
        <v>0</v>
      </c>
    </row>
    <row r="420" spans="1:16" hidden="1" x14ac:dyDescent="0.25">
      <c r="A420" s="114" t="s">
        <v>269</v>
      </c>
      <c r="B420" s="114" t="s">
        <v>301</v>
      </c>
      <c r="C420" s="114">
        <v>501</v>
      </c>
      <c r="D420" s="114">
        <v>1000</v>
      </c>
      <c r="E420" s="1" t="s">
        <v>50</v>
      </c>
      <c r="F420" s="35">
        <v>5001</v>
      </c>
      <c r="G420" s="35">
        <v>25000</v>
      </c>
      <c r="H420" s="127">
        <v>25000</v>
      </c>
      <c r="I420" s="138">
        <v>4.5</v>
      </c>
      <c r="J420" s="137"/>
      <c r="K420" s="138">
        <v>425</v>
      </c>
      <c r="L420" s="130">
        <f>I420*(H420/K420)</f>
        <v>264.70588235294116</v>
      </c>
      <c r="M420" s="28">
        <f>+L420*$M$1</f>
        <v>8523.5294117647063</v>
      </c>
      <c r="N420" s="162">
        <f>+M420/H420</f>
        <v>0.34094117647058825</v>
      </c>
      <c r="O420" s="131">
        <f t="shared" si="38"/>
        <v>340.94117647058823</v>
      </c>
      <c r="P420" s="130">
        <f t="shared" si="40"/>
        <v>0</v>
      </c>
    </row>
    <row r="421" spans="1:16" x14ac:dyDescent="0.25">
      <c r="A421" s="114" t="s">
        <v>270</v>
      </c>
      <c r="B421" s="114" t="s">
        <v>301</v>
      </c>
      <c r="C421" s="114">
        <v>501</v>
      </c>
      <c r="D421" s="114">
        <v>1000</v>
      </c>
      <c r="E421" s="1" t="s">
        <v>50</v>
      </c>
      <c r="F421" s="35">
        <v>5001</v>
      </c>
      <c r="G421" s="35">
        <v>25000</v>
      </c>
      <c r="H421" s="127">
        <v>25000</v>
      </c>
      <c r="I421" s="138">
        <v>4.5</v>
      </c>
      <c r="J421" s="137"/>
      <c r="K421" s="138">
        <v>550</v>
      </c>
      <c r="L421" s="130">
        <f>I421*(H421/K421)</f>
        <v>204.54545454545453</v>
      </c>
      <c r="M421" s="28">
        <f>+L421*$M$1</f>
        <v>6586.3636363636369</v>
      </c>
      <c r="N421" s="162">
        <f>+M421/H421</f>
        <v>0.2634545454545455</v>
      </c>
      <c r="O421" s="131">
        <f t="shared" si="38"/>
        <v>263.4545454545455</v>
      </c>
      <c r="P421" s="130">
        <f t="shared" si="40"/>
        <v>0</v>
      </c>
    </row>
    <row r="422" spans="1:16" hidden="1" x14ac:dyDescent="0.25">
      <c r="A422" s="114" t="s">
        <v>269</v>
      </c>
      <c r="B422" s="114" t="s">
        <v>301</v>
      </c>
      <c r="C422" s="114">
        <v>501</v>
      </c>
      <c r="D422" s="114">
        <v>1000</v>
      </c>
      <c r="E422" s="1" t="s">
        <v>18</v>
      </c>
      <c r="F422" s="35">
        <v>5001</v>
      </c>
      <c r="G422" s="35">
        <v>25000</v>
      </c>
      <c r="H422" s="127">
        <v>25000</v>
      </c>
      <c r="I422" s="138">
        <v>3.5</v>
      </c>
      <c r="J422" s="137"/>
      <c r="K422" s="138">
        <v>425</v>
      </c>
      <c r="L422" s="130">
        <f>I422*(H422/K422)</f>
        <v>205.88235294117646</v>
      </c>
      <c r="M422" s="28">
        <f>+L422*$M$1</f>
        <v>6629.4117647058829</v>
      </c>
      <c r="N422" s="162">
        <f>+M422/H422</f>
        <v>0.26517647058823529</v>
      </c>
      <c r="O422" s="131">
        <f t="shared" si="38"/>
        <v>265.1764705882353</v>
      </c>
      <c r="P422" s="130">
        <f t="shared" si="40"/>
        <v>0</v>
      </c>
    </row>
    <row r="423" spans="1:16" x14ac:dyDescent="0.25">
      <c r="A423" s="114" t="s">
        <v>270</v>
      </c>
      <c r="B423" s="114" t="s">
        <v>301</v>
      </c>
      <c r="C423" s="114">
        <v>501</v>
      </c>
      <c r="D423" s="114">
        <v>1000</v>
      </c>
      <c r="E423" s="1" t="s">
        <v>18</v>
      </c>
      <c r="F423" s="35">
        <v>5001</v>
      </c>
      <c r="G423" s="35">
        <v>25000</v>
      </c>
      <c r="H423" s="127">
        <v>25000</v>
      </c>
      <c r="I423" s="138">
        <v>3.5</v>
      </c>
      <c r="J423" s="137"/>
      <c r="K423" s="138">
        <v>550</v>
      </c>
      <c r="L423" s="130">
        <f>I423*(H423/K423)</f>
        <v>159.09090909090909</v>
      </c>
      <c r="M423" s="28">
        <f>+L423*$M$1</f>
        <v>5122.727272727273</v>
      </c>
      <c r="N423" s="162">
        <f>+M423/H423</f>
        <v>0.20490909090909093</v>
      </c>
      <c r="O423" s="131">
        <f t="shared" si="38"/>
        <v>204.90909090909093</v>
      </c>
      <c r="P423" s="130">
        <f t="shared" si="40"/>
        <v>0</v>
      </c>
    </row>
  </sheetData>
  <autoFilter ref="O2:P423" xr:uid="{5AFB3B06-187B-4D35-B6FE-9B0F28391A4E}"/>
  <phoneticPr fontId="37" type="noConversion"/>
  <pageMargins left="0.70866141732283472" right="0.70866141732283472" top="0.74803149606299213" bottom="0.74803149606299213" header="0.31496062992125984" footer="0.31496062992125984"/>
  <pageSetup paperSize="9" scale="44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0AF6-3B3B-4EE3-8692-1E3D2FF5097E}">
  <sheetPr codeName="Hoja8"/>
  <dimension ref="B1:U246"/>
  <sheetViews>
    <sheetView zoomScaleNormal="100" workbookViewId="0">
      <pane ySplit="2" topLeftCell="A3" activePane="bottomLeft" state="frozen"/>
      <selection activeCell="C12" sqref="C12"/>
      <selection pane="bottomLeft" activeCell="D15" sqref="D15:D17"/>
    </sheetView>
  </sheetViews>
  <sheetFormatPr baseColWidth="10" defaultRowHeight="15" x14ac:dyDescent="0.25"/>
  <cols>
    <col min="1" max="1" width="4.140625" customWidth="1"/>
    <col min="2" max="2" width="16.5703125" customWidth="1"/>
    <col min="3" max="4" width="23.85546875" style="12" customWidth="1"/>
    <col min="5" max="5" width="16.5703125" customWidth="1"/>
    <col min="6" max="6" width="26.85546875" bestFit="1" customWidth="1"/>
    <col min="7" max="7" width="19.85546875" bestFit="1" customWidth="1"/>
    <col min="8" max="8" width="20.140625" bestFit="1" customWidth="1"/>
    <col min="9" max="9" width="23.7109375" customWidth="1"/>
    <col min="10" max="10" width="11.42578125" customWidth="1"/>
    <col min="11" max="11" width="14.85546875" style="12" customWidth="1"/>
    <col min="12" max="12" width="16.42578125" customWidth="1"/>
    <col min="13" max="13" width="11.42578125" customWidth="1"/>
    <col min="14" max="14" width="14.5703125" customWidth="1"/>
    <col min="15" max="15" width="13.42578125" style="162" customWidth="1"/>
    <col min="17" max="17" width="11.42578125" customWidth="1"/>
    <col min="21" max="21" width="13.5703125" customWidth="1"/>
  </cols>
  <sheetData>
    <row r="1" spans="2:21" x14ac:dyDescent="0.25">
      <c r="J1" s="26"/>
      <c r="L1" s="12"/>
      <c r="R1" s="10">
        <f>'BD tasas y precios'!E12</f>
        <v>32.200000000000003</v>
      </c>
      <c r="U1" s="12"/>
    </row>
    <row r="2" spans="2:21" x14ac:dyDescent="0.25">
      <c r="B2" s="168" t="s">
        <v>178</v>
      </c>
      <c r="C2" s="168" t="s">
        <v>268</v>
      </c>
      <c r="D2" s="168" t="s">
        <v>381</v>
      </c>
      <c r="E2" s="167" t="s">
        <v>382</v>
      </c>
      <c r="F2" s="167" t="s">
        <v>247</v>
      </c>
      <c r="G2" s="167" t="s">
        <v>379</v>
      </c>
      <c r="H2" s="167" t="s">
        <v>380</v>
      </c>
      <c r="I2" s="168" t="s">
        <v>238</v>
      </c>
      <c r="J2" s="168" t="s">
        <v>248</v>
      </c>
      <c r="K2" s="168" t="s">
        <v>249</v>
      </c>
      <c r="L2" s="168" t="s">
        <v>252</v>
      </c>
      <c r="M2" s="169" t="s">
        <v>250</v>
      </c>
      <c r="N2" s="169" t="s">
        <v>304</v>
      </c>
      <c r="O2" s="170" t="s">
        <v>251</v>
      </c>
      <c r="P2" s="169" t="s">
        <v>257</v>
      </c>
      <c r="Q2" s="135" t="s">
        <v>253</v>
      </c>
    </row>
    <row r="3" spans="2:21" x14ac:dyDescent="0.25">
      <c r="B3" s="12" t="s">
        <v>302</v>
      </c>
      <c r="C3" s="12" t="s">
        <v>306</v>
      </c>
      <c r="D3" s="12">
        <v>0</v>
      </c>
      <c r="E3" s="12">
        <v>15</v>
      </c>
      <c r="F3" t="s">
        <v>307</v>
      </c>
      <c r="G3" s="35">
        <v>0</v>
      </c>
      <c r="H3" s="35">
        <v>1000</v>
      </c>
      <c r="I3" s="127">
        <v>1000</v>
      </c>
      <c r="J3" s="138"/>
      <c r="K3" s="137"/>
      <c r="L3" s="138"/>
      <c r="O3" s="163">
        <f>+P3/1000</f>
        <v>0.218</v>
      </c>
      <c r="P3" s="12">
        <v>218</v>
      </c>
    </row>
    <row r="4" spans="2:21" x14ac:dyDescent="0.25">
      <c r="B4" s="12" t="s">
        <v>302</v>
      </c>
      <c r="C4" s="12" t="s">
        <v>306</v>
      </c>
      <c r="D4" s="12">
        <v>0</v>
      </c>
      <c r="E4" s="12">
        <v>15</v>
      </c>
      <c r="F4" t="s">
        <v>307</v>
      </c>
      <c r="G4" s="35">
        <v>1001</v>
      </c>
      <c r="H4" s="35">
        <v>2000</v>
      </c>
      <c r="I4" s="127">
        <v>2000</v>
      </c>
      <c r="J4" s="138"/>
      <c r="K4" s="137"/>
      <c r="L4" s="138"/>
      <c r="O4" s="163">
        <f t="shared" ref="O4:O19" si="0">+P4/1000</f>
        <v>0.375</v>
      </c>
      <c r="P4" s="12">
        <v>375</v>
      </c>
    </row>
    <row r="5" spans="2:21" x14ac:dyDescent="0.25">
      <c r="B5" s="12" t="s">
        <v>302</v>
      </c>
      <c r="C5" s="12" t="s">
        <v>306</v>
      </c>
      <c r="D5" s="12">
        <v>0</v>
      </c>
      <c r="E5" s="12">
        <v>15</v>
      </c>
      <c r="F5" t="s">
        <v>307</v>
      </c>
      <c r="G5" s="35">
        <v>2001</v>
      </c>
      <c r="H5" s="35">
        <v>2500</v>
      </c>
      <c r="I5" s="127">
        <v>2500</v>
      </c>
      <c r="J5" s="138"/>
      <c r="K5" s="137"/>
      <c r="L5" s="138"/>
      <c r="O5" s="163">
        <f t="shared" si="0"/>
        <v>0.21</v>
      </c>
      <c r="P5" s="12">
        <v>210</v>
      </c>
    </row>
    <row r="6" spans="2:21" x14ac:dyDescent="0.25">
      <c r="B6" s="12" t="s">
        <v>302</v>
      </c>
      <c r="C6" s="12" t="s">
        <v>306</v>
      </c>
      <c r="D6" s="12">
        <v>0</v>
      </c>
      <c r="E6" s="12">
        <v>15</v>
      </c>
      <c r="F6" t="s">
        <v>307</v>
      </c>
      <c r="G6" s="35">
        <v>3001</v>
      </c>
      <c r="H6" s="35">
        <v>5000</v>
      </c>
      <c r="I6" s="127">
        <v>5000</v>
      </c>
      <c r="J6" s="138"/>
      <c r="K6" s="137"/>
      <c r="L6" s="138"/>
      <c r="O6" s="163">
        <f t="shared" si="0"/>
        <v>0.156</v>
      </c>
      <c r="P6" s="12">
        <v>156</v>
      </c>
    </row>
    <row r="7" spans="2:21" x14ac:dyDescent="0.25">
      <c r="B7" s="12" t="s">
        <v>302</v>
      </c>
      <c r="C7" s="12" t="s">
        <v>306</v>
      </c>
      <c r="D7" s="12">
        <v>0</v>
      </c>
      <c r="E7" s="12">
        <v>15</v>
      </c>
      <c r="F7" t="s">
        <v>307</v>
      </c>
      <c r="G7" s="35">
        <v>5001</v>
      </c>
      <c r="H7" s="35">
        <v>10000</v>
      </c>
      <c r="I7" s="127">
        <v>10000</v>
      </c>
      <c r="J7" s="138"/>
      <c r="K7" s="137"/>
      <c r="L7" s="138"/>
      <c r="O7" s="163">
        <f t="shared" si="0"/>
        <v>0.14599999999999999</v>
      </c>
      <c r="P7" s="12">
        <v>146</v>
      </c>
    </row>
    <row r="8" spans="2:21" x14ac:dyDescent="0.25">
      <c r="B8" s="12" t="s">
        <v>302</v>
      </c>
      <c r="C8" s="12" t="s">
        <v>306</v>
      </c>
      <c r="D8" s="12">
        <v>0</v>
      </c>
      <c r="E8" s="12">
        <v>15</v>
      </c>
      <c r="F8" t="s">
        <v>307</v>
      </c>
      <c r="G8" s="35">
        <v>10001</v>
      </c>
      <c r="H8" s="35">
        <v>20000</v>
      </c>
      <c r="I8" s="127">
        <v>20000</v>
      </c>
      <c r="J8" s="138"/>
      <c r="K8" s="137"/>
      <c r="L8" s="138"/>
      <c r="O8" s="163">
        <f t="shared" si="0"/>
        <v>0.127</v>
      </c>
      <c r="P8" s="12">
        <v>127</v>
      </c>
    </row>
    <row r="9" spans="2:21" x14ac:dyDescent="0.25">
      <c r="B9" s="12" t="s">
        <v>302</v>
      </c>
      <c r="C9" s="12" t="s">
        <v>306</v>
      </c>
      <c r="D9" s="12">
        <v>0</v>
      </c>
      <c r="E9" s="12">
        <v>15</v>
      </c>
      <c r="F9" t="s">
        <v>307</v>
      </c>
      <c r="G9" s="35">
        <v>20001</v>
      </c>
      <c r="H9" s="35">
        <v>50000</v>
      </c>
      <c r="I9" s="127">
        <v>50000</v>
      </c>
      <c r="J9" s="138"/>
      <c r="K9" s="137"/>
      <c r="L9" s="138"/>
      <c r="O9" s="163">
        <f t="shared" si="0"/>
        <v>0.112</v>
      </c>
      <c r="P9" s="12">
        <v>112</v>
      </c>
    </row>
    <row r="10" spans="2:21" ht="18" customHeight="1" x14ac:dyDescent="0.25">
      <c r="B10" s="12" t="s">
        <v>302</v>
      </c>
      <c r="C10" s="12" t="s">
        <v>306</v>
      </c>
      <c r="D10" s="12">
        <v>0</v>
      </c>
      <c r="E10" s="12">
        <v>15</v>
      </c>
      <c r="F10" t="s">
        <v>307</v>
      </c>
      <c r="G10" s="35">
        <v>50001</v>
      </c>
      <c r="H10" s="35">
        <v>999999</v>
      </c>
      <c r="I10" s="127">
        <v>100000</v>
      </c>
      <c r="J10" s="138"/>
      <c r="K10" s="137"/>
      <c r="L10" s="138"/>
      <c r="O10" s="163">
        <f t="shared" si="0"/>
        <v>0.375</v>
      </c>
      <c r="P10" s="12">
        <v>375</v>
      </c>
    </row>
    <row r="11" spans="2:21" x14ac:dyDescent="0.25">
      <c r="B11" s="12" t="s">
        <v>302</v>
      </c>
      <c r="C11" s="12" t="s">
        <v>301</v>
      </c>
      <c r="D11" s="12">
        <v>0</v>
      </c>
      <c r="E11" s="12">
        <v>15</v>
      </c>
      <c r="F11" t="s">
        <v>307</v>
      </c>
      <c r="G11" s="35">
        <v>0</v>
      </c>
      <c r="H11" s="35">
        <v>1000</v>
      </c>
      <c r="I11" s="127">
        <v>1000</v>
      </c>
      <c r="J11" s="138"/>
      <c r="K11" s="137"/>
      <c r="L11" s="138"/>
      <c r="O11" s="163">
        <f t="shared" si="0"/>
        <v>0.20699999999999999</v>
      </c>
      <c r="P11" s="12">
        <v>207</v>
      </c>
    </row>
    <row r="12" spans="2:21" x14ac:dyDescent="0.25">
      <c r="B12" s="12" t="s">
        <v>302</v>
      </c>
      <c r="C12" s="12" t="s">
        <v>301</v>
      </c>
      <c r="D12" s="12">
        <v>0</v>
      </c>
      <c r="E12" s="12">
        <v>15</v>
      </c>
      <c r="F12" t="s">
        <v>307</v>
      </c>
      <c r="G12" s="35">
        <v>1001</v>
      </c>
      <c r="H12" s="35">
        <v>2000</v>
      </c>
      <c r="I12" s="127">
        <v>2000</v>
      </c>
      <c r="J12" s="138"/>
      <c r="K12" s="137"/>
      <c r="L12" s="138"/>
      <c r="O12" s="163">
        <f t="shared" si="0"/>
        <v>0.153</v>
      </c>
      <c r="P12" s="12">
        <v>153</v>
      </c>
    </row>
    <row r="13" spans="2:21" x14ac:dyDescent="0.25">
      <c r="B13" s="12" t="s">
        <v>302</v>
      </c>
      <c r="C13" s="12" t="s">
        <v>301</v>
      </c>
      <c r="D13" s="12">
        <v>0</v>
      </c>
      <c r="E13" s="12">
        <v>15</v>
      </c>
      <c r="F13" t="s">
        <v>307</v>
      </c>
      <c r="G13" s="35">
        <v>2001</v>
      </c>
      <c r="H13" s="35">
        <v>2500</v>
      </c>
      <c r="I13" s="127">
        <v>2500</v>
      </c>
      <c r="J13" s="138"/>
      <c r="K13" s="137"/>
      <c r="L13" s="138"/>
      <c r="O13" s="163">
        <f t="shared" si="0"/>
        <v>0.13200000000000001</v>
      </c>
      <c r="P13" s="12">
        <v>132</v>
      </c>
    </row>
    <row r="14" spans="2:21" x14ac:dyDescent="0.25">
      <c r="B14" s="12" t="s">
        <v>302</v>
      </c>
      <c r="C14" s="12" t="s">
        <v>301</v>
      </c>
      <c r="D14" s="12">
        <v>0</v>
      </c>
      <c r="E14" s="12">
        <v>15</v>
      </c>
      <c r="F14" t="s">
        <v>307</v>
      </c>
      <c r="G14" s="35">
        <v>3001</v>
      </c>
      <c r="H14" s="35">
        <v>5000</v>
      </c>
      <c r="I14" s="127">
        <v>5000</v>
      </c>
      <c r="J14" s="138"/>
      <c r="K14" s="137"/>
      <c r="L14" s="138"/>
      <c r="O14" s="163">
        <f t="shared" si="0"/>
        <v>0.11700000000000001</v>
      </c>
      <c r="P14" s="12">
        <v>117</v>
      </c>
    </row>
    <row r="15" spans="2:21" x14ac:dyDescent="0.25">
      <c r="B15" s="12" t="s">
        <v>302</v>
      </c>
      <c r="C15" s="12" t="s">
        <v>301</v>
      </c>
      <c r="D15" s="12">
        <v>0</v>
      </c>
      <c r="E15" s="12">
        <v>15</v>
      </c>
      <c r="F15" t="s">
        <v>307</v>
      </c>
      <c r="G15" s="35">
        <v>5001</v>
      </c>
      <c r="H15" s="35">
        <v>10000</v>
      </c>
      <c r="I15" s="127">
        <v>10000</v>
      </c>
      <c r="J15" s="138"/>
      <c r="K15" s="137"/>
      <c r="L15" s="138"/>
      <c r="O15" s="163">
        <f t="shared" si="0"/>
        <v>0.107</v>
      </c>
      <c r="P15" s="12">
        <v>107</v>
      </c>
    </row>
    <row r="16" spans="2:21" x14ac:dyDescent="0.25">
      <c r="B16" s="12" t="s">
        <v>302</v>
      </c>
      <c r="C16" s="12" t="s">
        <v>301</v>
      </c>
      <c r="D16" s="12">
        <v>0</v>
      </c>
      <c r="E16" s="12">
        <v>15</v>
      </c>
      <c r="F16" t="s">
        <v>307</v>
      </c>
      <c r="G16" s="35">
        <v>10001</v>
      </c>
      <c r="H16" s="35">
        <v>20000</v>
      </c>
      <c r="I16" s="127">
        <v>20000</v>
      </c>
      <c r="J16" s="138"/>
      <c r="K16" s="137"/>
      <c r="L16" s="138"/>
      <c r="O16" s="163">
        <f t="shared" si="0"/>
        <v>9.6000000000000002E-2</v>
      </c>
      <c r="P16" s="12">
        <v>96</v>
      </c>
    </row>
    <row r="17" spans="2:16" x14ac:dyDescent="0.25">
      <c r="B17" s="12" t="s">
        <v>302</v>
      </c>
      <c r="C17" s="12" t="s">
        <v>301</v>
      </c>
      <c r="D17" s="12">
        <v>0</v>
      </c>
      <c r="E17" s="12">
        <v>15</v>
      </c>
      <c r="F17" t="s">
        <v>307</v>
      </c>
      <c r="G17" s="35">
        <v>20001</v>
      </c>
      <c r="H17" s="35">
        <v>50000</v>
      </c>
      <c r="I17" s="127">
        <v>50000</v>
      </c>
      <c r="J17" s="138"/>
      <c r="K17" s="137"/>
      <c r="L17" s="138"/>
      <c r="O17" s="163">
        <f t="shared" si="0"/>
        <v>8.8999999999999996E-2</v>
      </c>
      <c r="P17" s="12">
        <v>89</v>
      </c>
    </row>
    <row r="18" spans="2:16" x14ac:dyDescent="0.25">
      <c r="B18" s="12" t="s">
        <v>302</v>
      </c>
      <c r="C18" s="12" t="s">
        <v>301</v>
      </c>
      <c r="D18" s="12">
        <v>0</v>
      </c>
      <c r="E18" s="12">
        <v>15</v>
      </c>
      <c r="F18" t="s">
        <v>307</v>
      </c>
      <c r="G18" s="35">
        <v>50001</v>
      </c>
      <c r="H18" s="35">
        <v>999999</v>
      </c>
      <c r="I18" s="127">
        <v>100000</v>
      </c>
      <c r="J18" s="138"/>
      <c r="K18" s="137"/>
      <c r="L18" s="138"/>
      <c r="O18" s="163">
        <f t="shared" si="0"/>
        <v>0.375</v>
      </c>
      <c r="P18" s="12">
        <v>375</v>
      </c>
    </row>
    <row r="19" spans="2:16" x14ac:dyDescent="0.25">
      <c r="B19" s="12" t="s">
        <v>302</v>
      </c>
      <c r="C19" s="12" t="s">
        <v>305</v>
      </c>
      <c r="D19" s="12">
        <v>0</v>
      </c>
      <c r="E19" s="12">
        <v>15</v>
      </c>
      <c r="F19" t="s">
        <v>307</v>
      </c>
      <c r="G19" s="35">
        <v>0</v>
      </c>
      <c r="H19" s="35">
        <v>1000</v>
      </c>
      <c r="I19" s="127">
        <v>1000</v>
      </c>
      <c r="J19" s="138"/>
      <c r="K19" s="137"/>
      <c r="L19" s="138"/>
      <c r="O19" s="163">
        <f t="shared" si="0"/>
        <v>0.20399999999999999</v>
      </c>
      <c r="P19" s="12">
        <v>204</v>
      </c>
    </row>
    <row r="20" spans="2:16" x14ac:dyDescent="0.25">
      <c r="B20" s="12" t="s">
        <v>302</v>
      </c>
      <c r="C20" s="12" t="s">
        <v>305</v>
      </c>
      <c r="D20" s="12">
        <v>0</v>
      </c>
      <c r="E20" s="12">
        <v>15</v>
      </c>
      <c r="F20" t="s">
        <v>307</v>
      </c>
      <c r="G20" s="35">
        <v>1001</v>
      </c>
      <c r="H20" s="35">
        <v>2000</v>
      </c>
      <c r="I20" s="127">
        <v>2000</v>
      </c>
      <c r="J20" s="138"/>
      <c r="K20" s="137"/>
      <c r="L20" s="138"/>
      <c r="O20" s="163">
        <f t="shared" ref="O20:O35" si="1">+P20/1000</f>
        <v>0.14899999999999999</v>
      </c>
      <c r="P20" s="12">
        <v>149</v>
      </c>
    </row>
    <row r="21" spans="2:16" x14ac:dyDescent="0.25">
      <c r="B21" s="12" t="s">
        <v>302</v>
      </c>
      <c r="C21" s="12" t="s">
        <v>305</v>
      </c>
      <c r="D21" s="12">
        <v>0</v>
      </c>
      <c r="E21" s="12">
        <v>15</v>
      </c>
      <c r="F21" t="s">
        <v>307</v>
      </c>
      <c r="G21" s="35">
        <v>2001</v>
      </c>
      <c r="H21" s="35">
        <v>2500</v>
      </c>
      <c r="I21" s="127">
        <v>2500</v>
      </c>
      <c r="J21" s="138"/>
      <c r="K21" s="137"/>
      <c r="L21" s="138"/>
      <c r="O21" s="163">
        <f t="shared" si="1"/>
        <v>0.127</v>
      </c>
      <c r="P21" s="12">
        <v>127</v>
      </c>
    </row>
    <row r="22" spans="2:16" x14ac:dyDescent="0.25">
      <c r="B22" s="12" t="s">
        <v>302</v>
      </c>
      <c r="C22" s="12" t="s">
        <v>305</v>
      </c>
      <c r="D22" s="12">
        <v>0</v>
      </c>
      <c r="E22" s="12">
        <v>15</v>
      </c>
      <c r="F22" t="s">
        <v>307</v>
      </c>
      <c r="G22" s="35">
        <v>3001</v>
      </c>
      <c r="H22" s="35">
        <v>5000</v>
      </c>
      <c r="I22" s="127">
        <v>5000</v>
      </c>
      <c r="J22" s="138"/>
      <c r="K22" s="137"/>
      <c r="L22" s="138"/>
      <c r="O22" s="163">
        <f t="shared" si="1"/>
        <v>0.115</v>
      </c>
      <c r="P22" s="12">
        <v>115</v>
      </c>
    </row>
    <row r="23" spans="2:16" x14ac:dyDescent="0.25">
      <c r="B23" s="12" t="s">
        <v>302</v>
      </c>
      <c r="C23" s="12" t="s">
        <v>305</v>
      </c>
      <c r="D23" s="12">
        <v>0</v>
      </c>
      <c r="E23" s="12">
        <v>15</v>
      </c>
      <c r="F23" t="s">
        <v>307</v>
      </c>
      <c r="G23" s="35">
        <v>5001</v>
      </c>
      <c r="H23" s="35">
        <v>10000</v>
      </c>
      <c r="I23" s="127">
        <v>10000</v>
      </c>
      <c r="J23" s="138"/>
      <c r="K23" s="137"/>
      <c r="L23" s="138"/>
      <c r="O23" s="163">
        <f t="shared" si="1"/>
        <v>0.10199999999999999</v>
      </c>
      <c r="P23" s="12">
        <v>102</v>
      </c>
    </row>
    <row r="24" spans="2:16" x14ac:dyDescent="0.25">
      <c r="B24" s="12" t="s">
        <v>302</v>
      </c>
      <c r="C24" s="12" t="s">
        <v>305</v>
      </c>
      <c r="D24" s="12">
        <v>0</v>
      </c>
      <c r="E24" s="12">
        <v>15</v>
      </c>
      <c r="F24" t="s">
        <v>307</v>
      </c>
      <c r="G24" s="35">
        <v>10001</v>
      </c>
      <c r="H24" s="35">
        <v>20000</v>
      </c>
      <c r="I24" s="127">
        <v>20000</v>
      </c>
      <c r="J24" s="138"/>
      <c r="K24" s="137"/>
      <c r="L24" s="138"/>
      <c r="O24" s="163">
        <f t="shared" si="1"/>
        <v>0.375</v>
      </c>
      <c r="P24" s="12">
        <v>375</v>
      </c>
    </row>
    <row r="25" spans="2:16" x14ac:dyDescent="0.25">
      <c r="B25" s="12" t="s">
        <v>302</v>
      </c>
      <c r="C25" s="12" t="s">
        <v>305</v>
      </c>
      <c r="D25" s="12">
        <v>0</v>
      </c>
      <c r="E25" s="12">
        <v>15</v>
      </c>
      <c r="F25" t="s">
        <v>307</v>
      </c>
      <c r="G25" s="35">
        <v>20001</v>
      </c>
      <c r="H25" s="35">
        <v>50000</v>
      </c>
      <c r="I25" s="127">
        <v>50000</v>
      </c>
      <c r="J25" s="138"/>
      <c r="K25" s="137"/>
      <c r="L25" s="138"/>
      <c r="O25" s="163">
        <f t="shared" si="1"/>
        <v>0.19900000000000001</v>
      </c>
      <c r="P25" s="12">
        <v>199</v>
      </c>
    </row>
    <row r="26" spans="2:16" x14ac:dyDescent="0.25">
      <c r="B26" s="12" t="s">
        <v>302</v>
      </c>
      <c r="C26" s="12" t="s">
        <v>305</v>
      </c>
      <c r="D26" s="12">
        <v>0</v>
      </c>
      <c r="E26" s="12">
        <v>15</v>
      </c>
      <c r="F26" t="s">
        <v>307</v>
      </c>
      <c r="G26" s="35">
        <v>50001</v>
      </c>
      <c r="H26" s="35">
        <v>999999</v>
      </c>
      <c r="I26" s="127">
        <v>100000</v>
      </c>
      <c r="J26" s="138"/>
      <c r="K26" s="137"/>
      <c r="L26" s="138"/>
      <c r="O26" s="163">
        <f t="shared" si="1"/>
        <v>0.14499999999999999</v>
      </c>
      <c r="P26" s="12">
        <v>145</v>
      </c>
    </row>
    <row r="27" spans="2:16" x14ac:dyDescent="0.25">
      <c r="B27" s="12" t="s">
        <v>302</v>
      </c>
      <c r="C27" s="12" t="s">
        <v>322</v>
      </c>
      <c r="D27" s="12">
        <v>0</v>
      </c>
      <c r="E27" s="12">
        <v>15</v>
      </c>
      <c r="F27" t="s">
        <v>307</v>
      </c>
      <c r="G27" s="35">
        <v>0</v>
      </c>
      <c r="H27" s="35">
        <v>1000</v>
      </c>
      <c r="I27" s="127">
        <v>1000</v>
      </c>
      <c r="J27" s="138"/>
      <c r="K27" s="137"/>
      <c r="L27" s="138"/>
      <c r="O27" s="163">
        <f t="shared" si="1"/>
        <v>0.12</v>
      </c>
      <c r="P27" s="12">
        <v>120</v>
      </c>
    </row>
    <row r="28" spans="2:16" x14ac:dyDescent="0.25">
      <c r="B28" s="12" t="s">
        <v>302</v>
      </c>
      <c r="C28" s="12" t="s">
        <v>322</v>
      </c>
      <c r="D28" s="12">
        <v>0</v>
      </c>
      <c r="E28" s="12">
        <v>15</v>
      </c>
      <c r="F28" t="s">
        <v>307</v>
      </c>
      <c r="G28" s="35">
        <v>1001</v>
      </c>
      <c r="H28" s="35">
        <v>2000</v>
      </c>
      <c r="I28" s="127">
        <v>2000</v>
      </c>
      <c r="J28" s="138"/>
      <c r="K28" s="137"/>
      <c r="L28" s="138"/>
      <c r="O28" s="163">
        <f t="shared" si="1"/>
        <v>0.111</v>
      </c>
      <c r="P28" s="12">
        <v>111</v>
      </c>
    </row>
    <row r="29" spans="2:16" x14ac:dyDescent="0.25">
      <c r="B29" s="12" t="s">
        <v>302</v>
      </c>
      <c r="C29" s="12" t="s">
        <v>322</v>
      </c>
      <c r="D29" s="12">
        <v>0</v>
      </c>
      <c r="E29" s="12">
        <v>15</v>
      </c>
      <c r="F29" t="s">
        <v>307</v>
      </c>
      <c r="G29" s="35">
        <v>2001</v>
      </c>
      <c r="H29" s="35">
        <v>2500</v>
      </c>
      <c r="I29" s="127">
        <v>2500</v>
      </c>
      <c r="J29" s="138"/>
      <c r="K29" s="137"/>
      <c r="L29" s="138"/>
      <c r="O29" s="163">
        <f t="shared" si="1"/>
        <v>9.8000000000000004E-2</v>
      </c>
      <c r="P29" s="12">
        <v>98</v>
      </c>
    </row>
    <row r="30" spans="2:16" x14ac:dyDescent="0.25">
      <c r="B30" s="12" t="s">
        <v>302</v>
      </c>
      <c r="C30" s="12" t="s">
        <v>322</v>
      </c>
      <c r="D30" s="12">
        <v>0</v>
      </c>
      <c r="E30" s="12">
        <v>15</v>
      </c>
      <c r="F30" t="s">
        <v>307</v>
      </c>
      <c r="G30" s="35">
        <v>3001</v>
      </c>
      <c r="H30" s="35">
        <v>5000</v>
      </c>
      <c r="I30" s="127">
        <v>5000</v>
      </c>
      <c r="J30" s="138"/>
      <c r="K30" s="137"/>
      <c r="L30" s="138"/>
      <c r="O30" s="163">
        <f t="shared" si="1"/>
        <v>9.0999999999999998E-2</v>
      </c>
      <c r="P30" s="12">
        <v>91</v>
      </c>
    </row>
    <row r="31" spans="2:16" x14ac:dyDescent="0.25">
      <c r="B31" s="12" t="s">
        <v>302</v>
      </c>
      <c r="C31" s="12" t="s">
        <v>322</v>
      </c>
      <c r="D31" s="12">
        <v>0</v>
      </c>
      <c r="E31" s="12">
        <v>15</v>
      </c>
      <c r="F31" t="s">
        <v>307</v>
      </c>
      <c r="G31" s="35">
        <v>5001</v>
      </c>
      <c r="H31" s="35">
        <v>10000</v>
      </c>
      <c r="I31" s="127">
        <v>10000</v>
      </c>
      <c r="J31" s="138"/>
      <c r="K31" s="137"/>
      <c r="L31" s="138"/>
      <c r="O31" s="163">
        <f t="shared" si="1"/>
        <v>8.4000000000000005E-2</v>
      </c>
      <c r="P31" s="12">
        <v>84</v>
      </c>
    </row>
    <row r="32" spans="2:16" x14ac:dyDescent="0.25">
      <c r="B32" s="12" t="s">
        <v>302</v>
      </c>
      <c r="C32" s="12" t="s">
        <v>322</v>
      </c>
      <c r="D32" s="12">
        <v>0</v>
      </c>
      <c r="E32" s="12">
        <v>15</v>
      </c>
      <c r="F32" t="s">
        <v>307</v>
      </c>
      <c r="G32" s="35">
        <v>10001</v>
      </c>
      <c r="H32" s="35">
        <v>20000</v>
      </c>
      <c r="I32" s="127">
        <v>20000</v>
      </c>
      <c r="J32" s="138"/>
      <c r="K32" s="137"/>
      <c r="L32" s="138"/>
      <c r="O32" s="163">
        <f t="shared" si="1"/>
        <v>0.375</v>
      </c>
      <c r="P32" s="12">
        <v>375</v>
      </c>
    </row>
    <row r="33" spans="2:16" x14ac:dyDescent="0.25">
      <c r="B33" s="12" t="s">
        <v>302</v>
      </c>
      <c r="C33" s="12" t="s">
        <v>322</v>
      </c>
      <c r="D33" s="12">
        <v>0</v>
      </c>
      <c r="E33" s="12">
        <v>15</v>
      </c>
      <c r="F33" t="s">
        <v>307</v>
      </c>
      <c r="G33" s="35">
        <v>20001</v>
      </c>
      <c r="H33" s="35">
        <v>50000</v>
      </c>
      <c r="I33" s="127">
        <v>50000</v>
      </c>
      <c r="J33" s="138"/>
      <c r="K33" s="137"/>
      <c r="L33" s="138"/>
      <c r="O33" s="163">
        <f t="shared" si="1"/>
        <v>0.193</v>
      </c>
      <c r="P33" s="12">
        <v>193</v>
      </c>
    </row>
    <row r="34" spans="2:16" x14ac:dyDescent="0.25">
      <c r="B34" s="12" t="s">
        <v>302</v>
      </c>
      <c r="C34" s="12" t="s">
        <v>322</v>
      </c>
      <c r="D34" s="12">
        <v>0</v>
      </c>
      <c r="E34" s="12">
        <v>15</v>
      </c>
      <c r="F34" t="s">
        <v>307</v>
      </c>
      <c r="G34" s="35">
        <v>50001</v>
      </c>
      <c r="H34" s="35">
        <v>999999</v>
      </c>
      <c r="I34" s="127">
        <v>100000</v>
      </c>
      <c r="J34" s="138"/>
      <c r="K34" s="137"/>
      <c r="L34" s="138"/>
      <c r="O34" s="163">
        <f t="shared" si="1"/>
        <v>0.14000000000000001</v>
      </c>
      <c r="P34" s="12">
        <v>140</v>
      </c>
    </row>
    <row r="35" spans="2:16" x14ac:dyDescent="0.25">
      <c r="B35" s="12" t="s">
        <v>302</v>
      </c>
      <c r="C35" s="12" t="s">
        <v>306</v>
      </c>
      <c r="D35" s="12">
        <v>16</v>
      </c>
      <c r="E35" s="12">
        <v>30</v>
      </c>
      <c r="F35" t="s">
        <v>307</v>
      </c>
      <c r="G35" s="35">
        <v>0</v>
      </c>
      <c r="H35" s="35">
        <v>1000</v>
      </c>
      <c r="I35" s="127">
        <v>1000</v>
      </c>
      <c r="J35" s="138"/>
      <c r="K35" s="137"/>
      <c r="L35" s="138"/>
      <c r="O35" s="163">
        <f t="shared" si="1"/>
        <v>0.11600000000000001</v>
      </c>
      <c r="P35" s="12">
        <v>116</v>
      </c>
    </row>
    <row r="36" spans="2:16" x14ac:dyDescent="0.25">
      <c r="B36" s="12" t="s">
        <v>302</v>
      </c>
      <c r="C36" s="12" t="s">
        <v>306</v>
      </c>
      <c r="D36" s="12">
        <v>16</v>
      </c>
      <c r="E36" s="12">
        <v>30</v>
      </c>
      <c r="F36" t="s">
        <v>307</v>
      </c>
      <c r="G36" s="35">
        <v>1001</v>
      </c>
      <c r="H36" s="35">
        <v>2000</v>
      </c>
      <c r="I36" s="127">
        <v>2000</v>
      </c>
      <c r="J36" s="138"/>
      <c r="K36" s="137"/>
      <c r="L36" s="138"/>
      <c r="O36" s="163">
        <f t="shared" ref="O36:O51" si="2">+P36/1000</f>
        <v>0.105</v>
      </c>
      <c r="P36" s="12">
        <v>105</v>
      </c>
    </row>
    <row r="37" spans="2:16" x14ac:dyDescent="0.25">
      <c r="B37" s="12" t="s">
        <v>302</v>
      </c>
      <c r="C37" s="12" t="s">
        <v>306</v>
      </c>
      <c r="D37" s="12">
        <v>16</v>
      </c>
      <c r="E37" s="12">
        <v>30</v>
      </c>
      <c r="F37" t="s">
        <v>307</v>
      </c>
      <c r="G37" s="35">
        <v>2001</v>
      </c>
      <c r="H37" s="35">
        <v>2500</v>
      </c>
      <c r="I37" s="127">
        <v>2500</v>
      </c>
      <c r="J37" s="138"/>
      <c r="K37" s="137"/>
      <c r="L37" s="138"/>
      <c r="O37" s="163">
        <f t="shared" si="2"/>
        <v>9.4E-2</v>
      </c>
      <c r="P37" s="12">
        <v>94</v>
      </c>
    </row>
    <row r="38" spans="2:16" x14ac:dyDescent="0.25">
      <c r="B38" s="12" t="s">
        <v>302</v>
      </c>
      <c r="C38" s="12" t="s">
        <v>306</v>
      </c>
      <c r="D38" s="12">
        <v>16</v>
      </c>
      <c r="E38" s="12">
        <v>30</v>
      </c>
      <c r="F38" t="s">
        <v>307</v>
      </c>
      <c r="G38" s="35">
        <v>3001</v>
      </c>
      <c r="H38" s="35">
        <v>5000</v>
      </c>
      <c r="I38" s="127">
        <v>5000</v>
      </c>
      <c r="J38" s="138"/>
      <c r="K38" s="137"/>
      <c r="L38" s="138"/>
      <c r="O38" s="163">
        <f t="shared" si="2"/>
        <v>8.6999999999999994E-2</v>
      </c>
      <c r="P38" s="12">
        <v>87</v>
      </c>
    </row>
    <row r="39" spans="2:16" x14ac:dyDescent="0.25">
      <c r="B39" s="12" t="s">
        <v>302</v>
      </c>
      <c r="C39" s="12" t="s">
        <v>306</v>
      </c>
      <c r="D39" s="12">
        <v>16</v>
      </c>
      <c r="E39" s="12">
        <v>30</v>
      </c>
      <c r="F39" t="s">
        <v>307</v>
      </c>
      <c r="G39" s="35">
        <v>5001</v>
      </c>
      <c r="H39" s="35">
        <v>10000</v>
      </c>
      <c r="I39" s="127">
        <v>10000</v>
      </c>
      <c r="J39" s="138"/>
      <c r="K39" s="137"/>
      <c r="L39" s="138"/>
      <c r="O39" s="163">
        <f t="shared" si="2"/>
        <v>0.08</v>
      </c>
      <c r="P39" s="12">
        <v>80</v>
      </c>
    </row>
    <row r="40" spans="2:16" x14ac:dyDescent="0.25">
      <c r="B40" s="12" t="s">
        <v>302</v>
      </c>
      <c r="C40" s="12" t="s">
        <v>306</v>
      </c>
      <c r="D40" s="12">
        <v>16</v>
      </c>
      <c r="E40" s="12">
        <v>30</v>
      </c>
      <c r="F40" t="s">
        <v>307</v>
      </c>
      <c r="G40" s="35">
        <v>10001</v>
      </c>
      <c r="H40" s="35">
        <v>20000</v>
      </c>
      <c r="I40" s="127">
        <v>20000</v>
      </c>
      <c r="J40" s="138"/>
      <c r="K40" s="137"/>
      <c r="L40" s="138"/>
      <c r="O40" s="163">
        <f t="shared" si="2"/>
        <v>0.375</v>
      </c>
      <c r="P40" s="12">
        <v>375</v>
      </c>
    </row>
    <row r="41" spans="2:16" x14ac:dyDescent="0.25">
      <c r="B41" s="12" t="s">
        <v>302</v>
      </c>
      <c r="C41" s="12" t="s">
        <v>306</v>
      </c>
      <c r="D41" s="12">
        <v>16</v>
      </c>
      <c r="E41" s="12">
        <v>30</v>
      </c>
      <c r="F41" t="s">
        <v>307</v>
      </c>
      <c r="G41" s="35">
        <v>20001</v>
      </c>
      <c r="H41" s="35">
        <v>50000</v>
      </c>
      <c r="I41" s="127">
        <v>50000</v>
      </c>
      <c r="J41" s="138"/>
      <c r="K41" s="137"/>
      <c r="L41" s="138"/>
      <c r="O41" s="163">
        <f t="shared" si="2"/>
        <v>0.193</v>
      </c>
      <c r="P41" s="12">
        <v>193</v>
      </c>
    </row>
    <row r="42" spans="2:16" x14ac:dyDescent="0.25">
      <c r="B42" s="12" t="s">
        <v>302</v>
      </c>
      <c r="C42" s="12" t="s">
        <v>306</v>
      </c>
      <c r="D42" s="12">
        <v>16</v>
      </c>
      <c r="E42" s="12">
        <v>30</v>
      </c>
      <c r="F42" t="s">
        <v>307</v>
      </c>
      <c r="G42" s="35">
        <v>50001</v>
      </c>
      <c r="H42" s="35">
        <v>999999</v>
      </c>
      <c r="I42" s="127">
        <v>100000</v>
      </c>
      <c r="J42" s="138"/>
      <c r="K42" s="137"/>
      <c r="L42" s="138"/>
      <c r="O42" s="163">
        <f t="shared" si="2"/>
        <v>0.14000000000000001</v>
      </c>
      <c r="P42" s="12">
        <v>140</v>
      </c>
    </row>
    <row r="43" spans="2:16" x14ac:dyDescent="0.25">
      <c r="B43" s="12" t="s">
        <v>302</v>
      </c>
      <c r="C43" s="12" t="s">
        <v>301</v>
      </c>
      <c r="D43" s="12">
        <v>16</v>
      </c>
      <c r="E43" s="12">
        <v>30</v>
      </c>
      <c r="F43" t="s">
        <v>307</v>
      </c>
      <c r="G43" s="35">
        <v>0</v>
      </c>
      <c r="H43" s="35">
        <v>1000</v>
      </c>
      <c r="I43" s="127">
        <v>1000</v>
      </c>
      <c r="J43" s="138"/>
      <c r="K43" s="137"/>
      <c r="L43" s="138"/>
      <c r="O43" s="163">
        <f t="shared" si="2"/>
        <v>0.11600000000000001</v>
      </c>
      <c r="P43" s="12">
        <v>116</v>
      </c>
    </row>
    <row r="44" spans="2:16" x14ac:dyDescent="0.25">
      <c r="B44" s="12" t="s">
        <v>302</v>
      </c>
      <c r="C44" s="12" t="s">
        <v>301</v>
      </c>
      <c r="D44" s="12">
        <v>16</v>
      </c>
      <c r="E44" s="12">
        <v>30</v>
      </c>
      <c r="F44" t="s">
        <v>307</v>
      </c>
      <c r="G44" s="35">
        <v>1001</v>
      </c>
      <c r="H44" s="35">
        <v>2000</v>
      </c>
      <c r="I44" s="127">
        <v>2000</v>
      </c>
      <c r="J44" s="138"/>
      <c r="K44" s="137"/>
      <c r="L44" s="138"/>
      <c r="O44" s="163">
        <f t="shared" si="2"/>
        <v>0.105</v>
      </c>
      <c r="P44" s="12">
        <v>105</v>
      </c>
    </row>
    <row r="45" spans="2:16" x14ac:dyDescent="0.25">
      <c r="B45" s="12" t="s">
        <v>302</v>
      </c>
      <c r="C45" s="12" t="s">
        <v>301</v>
      </c>
      <c r="D45" s="12">
        <v>16</v>
      </c>
      <c r="E45" s="12">
        <v>30</v>
      </c>
      <c r="F45" t="s">
        <v>307</v>
      </c>
      <c r="G45" s="35">
        <v>2001</v>
      </c>
      <c r="H45" s="35">
        <v>2500</v>
      </c>
      <c r="I45" s="127">
        <v>2500</v>
      </c>
      <c r="J45" s="138"/>
      <c r="K45" s="137"/>
      <c r="L45" s="138"/>
      <c r="O45" s="163">
        <f t="shared" si="2"/>
        <v>9.4E-2</v>
      </c>
      <c r="P45" s="12">
        <v>94</v>
      </c>
    </row>
    <row r="46" spans="2:16" x14ac:dyDescent="0.25">
      <c r="B46" s="12" t="s">
        <v>302</v>
      </c>
      <c r="C46" s="12" t="s">
        <v>301</v>
      </c>
      <c r="D46" s="12">
        <v>16</v>
      </c>
      <c r="E46" s="12">
        <v>30</v>
      </c>
      <c r="F46" t="s">
        <v>307</v>
      </c>
      <c r="G46" s="35">
        <v>3001</v>
      </c>
      <c r="H46" s="35">
        <v>5000</v>
      </c>
      <c r="I46" s="127">
        <v>5000</v>
      </c>
      <c r="J46" s="138"/>
      <c r="K46" s="137"/>
      <c r="L46" s="138"/>
      <c r="O46" s="163">
        <f t="shared" si="2"/>
        <v>8.6999999999999994E-2</v>
      </c>
      <c r="P46" s="12">
        <v>87</v>
      </c>
    </row>
    <row r="47" spans="2:16" x14ac:dyDescent="0.25">
      <c r="B47" s="12" t="s">
        <v>302</v>
      </c>
      <c r="C47" s="12" t="s">
        <v>301</v>
      </c>
      <c r="D47" s="12">
        <v>16</v>
      </c>
      <c r="E47" s="12">
        <v>30</v>
      </c>
      <c r="F47" t="s">
        <v>307</v>
      </c>
      <c r="G47" s="35">
        <v>5001</v>
      </c>
      <c r="H47" s="35">
        <v>10000</v>
      </c>
      <c r="I47" s="127">
        <v>10000</v>
      </c>
      <c r="J47" s="138"/>
      <c r="K47" s="137"/>
      <c r="L47" s="138"/>
      <c r="O47" s="163">
        <f t="shared" si="2"/>
        <v>0.08</v>
      </c>
      <c r="P47" s="12">
        <v>80</v>
      </c>
    </row>
    <row r="48" spans="2:16" x14ac:dyDescent="0.25">
      <c r="B48" s="12" t="s">
        <v>302</v>
      </c>
      <c r="C48" s="12" t="s">
        <v>301</v>
      </c>
      <c r="D48" s="12">
        <v>16</v>
      </c>
      <c r="E48" s="12">
        <v>30</v>
      </c>
      <c r="F48" t="s">
        <v>307</v>
      </c>
      <c r="G48" s="35">
        <v>10001</v>
      </c>
      <c r="H48" s="35">
        <v>20000</v>
      </c>
      <c r="I48" s="127">
        <v>20000</v>
      </c>
      <c r="J48" s="138"/>
      <c r="K48" s="137"/>
      <c r="L48" s="138"/>
      <c r="O48" s="163">
        <f t="shared" si="2"/>
        <v>0.375</v>
      </c>
      <c r="P48" s="12">
        <v>375</v>
      </c>
    </row>
    <row r="49" spans="2:16" x14ac:dyDescent="0.25">
      <c r="B49" s="12" t="s">
        <v>302</v>
      </c>
      <c r="C49" s="12" t="s">
        <v>301</v>
      </c>
      <c r="D49" s="12">
        <v>16</v>
      </c>
      <c r="E49" s="12">
        <v>30</v>
      </c>
      <c r="F49" t="s">
        <v>307</v>
      </c>
      <c r="G49" s="35">
        <v>20001</v>
      </c>
      <c r="H49" s="35">
        <v>50000</v>
      </c>
      <c r="I49" s="127">
        <v>50000</v>
      </c>
      <c r="J49" s="138"/>
      <c r="K49" s="137"/>
      <c r="L49" s="138"/>
      <c r="O49" s="163">
        <f t="shared" si="2"/>
        <v>0.188</v>
      </c>
      <c r="P49" s="12">
        <v>188</v>
      </c>
    </row>
    <row r="50" spans="2:16" x14ac:dyDescent="0.25">
      <c r="B50" s="12" t="s">
        <v>302</v>
      </c>
      <c r="C50" s="12" t="s">
        <v>301</v>
      </c>
      <c r="D50" s="12">
        <v>16</v>
      </c>
      <c r="E50" s="12">
        <v>30</v>
      </c>
      <c r="F50" t="s">
        <v>307</v>
      </c>
      <c r="G50" s="35">
        <v>50001</v>
      </c>
      <c r="H50" s="35">
        <v>999999</v>
      </c>
      <c r="I50" s="127">
        <v>100000</v>
      </c>
      <c r="J50" s="138"/>
      <c r="K50" s="137"/>
      <c r="L50" s="138"/>
      <c r="O50" s="163">
        <f t="shared" si="2"/>
        <v>0.13700000000000001</v>
      </c>
      <c r="P50" s="12">
        <v>137</v>
      </c>
    </row>
    <row r="51" spans="2:16" x14ac:dyDescent="0.25">
      <c r="B51" s="12" t="s">
        <v>302</v>
      </c>
      <c r="C51" s="12" t="s">
        <v>305</v>
      </c>
      <c r="D51" s="12">
        <v>16</v>
      </c>
      <c r="E51" s="12">
        <v>30</v>
      </c>
      <c r="F51" t="s">
        <v>307</v>
      </c>
      <c r="G51" s="35">
        <v>0</v>
      </c>
      <c r="H51" s="35">
        <v>1000</v>
      </c>
      <c r="I51" s="127">
        <v>1000</v>
      </c>
      <c r="J51" s="138"/>
      <c r="K51" s="137"/>
      <c r="L51" s="138"/>
      <c r="O51" s="163">
        <f t="shared" si="2"/>
        <v>0.112</v>
      </c>
      <c r="P51" s="12">
        <v>112</v>
      </c>
    </row>
    <row r="52" spans="2:16" x14ac:dyDescent="0.25">
      <c r="B52" s="12" t="s">
        <v>302</v>
      </c>
      <c r="C52" s="12" t="s">
        <v>305</v>
      </c>
      <c r="D52" s="12">
        <v>16</v>
      </c>
      <c r="E52" s="12">
        <v>30</v>
      </c>
      <c r="F52" t="s">
        <v>307</v>
      </c>
      <c r="G52" s="35">
        <v>1001</v>
      </c>
      <c r="H52" s="35">
        <v>2000</v>
      </c>
      <c r="I52" s="127">
        <v>2000</v>
      </c>
      <c r="J52" s="138"/>
      <c r="K52" s="137"/>
      <c r="L52" s="138"/>
      <c r="O52" s="163">
        <f t="shared" ref="O52:O67" si="3">+P52/1000</f>
        <v>9.8000000000000004E-2</v>
      </c>
      <c r="P52" s="12">
        <v>98</v>
      </c>
    </row>
    <row r="53" spans="2:16" x14ac:dyDescent="0.25">
      <c r="B53" s="12" t="s">
        <v>302</v>
      </c>
      <c r="C53" s="12" t="s">
        <v>305</v>
      </c>
      <c r="D53" s="12">
        <v>16</v>
      </c>
      <c r="E53" s="12">
        <v>30</v>
      </c>
      <c r="F53" t="s">
        <v>307</v>
      </c>
      <c r="G53" s="35">
        <v>2001</v>
      </c>
      <c r="H53" s="35">
        <v>2500</v>
      </c>
      <c r="I53" s="127">
        <v>2500</v>
      </c>
      <c r="J53" s="138"/>
      <c r="K53" s="137"/>
      <c r="L53" s="138"/>
      <c r="O53" s="163">
        <f t="shared" si="3"/>
        <v>8.8999999999999996E-2</v>
      </c>
      <c r="P53" s="12">
        <v>89</v>
      </c>
    </row>
    <row r="54" spans="2:16" x14ac:dyDescent="0.25">
      <c r="B54" s="12" t="s">
        <v>302</v>
      </c>
      <c r="C54" s="12" t="s">
        <v>305</v>
      </c>
      <c r="D54" s="12">
        <v>16</v>
      </c>
      <c r="E54" s="12">
        <v>30</v>
      </c>
      <c r="F54" t="s">
        <v>307</v>
      </c>
      <c r="G54" s="35">
        <v>3001</v>
      </c>
      <c r="H54" s="35">
        <v>5000</v>
      </c>
      <c r="I54" s="127">
        <v>5000</v>
      </c>
      <c r="J54" s="138"/>
      <c r="K54" s="137"/>
      <c r="L54" s="138"/>
      <c r="O54" s="163">
        <f t="shared" si="3"/>
        <v>8.1000000000000003E-2</v>
      </c>
      <c r="P54" s="12">
        <v>81</v>
      </c>
    </row>
    <row r="55" spans="2:16" x14ac:dyDescent="0.25">
      <c r="B55" s="12" t="s">
        <v>302</v>
      </c>
      <c r="C55" s="12" t="s">
        <v>305</v>
      </c>
      <c r="D55" s="12">
        <v>16</v>
      </c>
      <c r="E55" s="12">
        <v>30</v>
      </c>
      <c r="F55" t="s">
        <v>307</v>
      </c>
      <c r="G55" s="35">
        <v>5001</v>
      </c>
      <c r="H55" s="35">
        <v>10000</v>
      </c>
      <c r="I55" s="127">
        <v>10000</v>
      </c>
      <c r="J55" s="138"/>
      <c r="K55" s="137"/>
      <c r="L55" s="138"/>
      <c r="O55" s="163">
        <f t="shared" si="3"/>
        <v>7.5999999999999998E-2</v>
      </c>
      <c r="P55" s="12">
        <v>76</v>
      </c>
    </row>
    <row r="56" spans="2:16" x14ac:dyDescent="0.25">
      <c r="B56" s="12" t="s">
        <v>302</v>
      </c>
      <c r="C56" s="12" t="s">
        <v>305</v>
      </c>
      <c r="D56" s="12">
        <v>16</v>
      </c>
      <c r="E56" s="12">
        <v>30</v>
      </c>
      <c r="F56" t="s">
        <v>307</v>
      </c>
      <c r="G56" s="35">
        <v>10001</v>
      </c>
      <c r="H56" s="35">
        <v>20000</v>
      </c>
      <c r="I56" s="127">
        <v>20000</v>
      </c>
      <c r="J56" s="138"/>
      <c r="K56" s="137"/>
      <c r="L56" s="138"/>
      <c r="O56" s="163">
        <f t="shared" si="3"/>
        <v>0.375</v>
      </c>
      <c r="P56" s="12">
        <v>375</v>
      </c>
    </row>
    <row r="57" spans="2:16" x14ac:dyDescent="0.25">
      <c r="B57" s="12" t="s">
        <v>302</v>
      </c>
      <c r="C57" s="12" t="s">
        <v>305</v>
      </c>
      <c r="D57" s="12">
        <v>16</v>
      </c>
      <c r="E57" s="12">
        <v>30</v>
      </c>
      <c r="F57" t="s">
        <v>307</v>
      </c>
      <c r="G57" s="35">
        <v>20001</v>
      </c>
      <c r="H57" s="35">
        <v>50000</v>
      </c>
      <c r="I57" s="127">
        <v>50000</v>
      </c>
      <c r="J57" s="138"/>
      <c r="K57" s="137"/>
      <c r="L57" s="138"/>
      <c r="O57" s="163">
        <f t="shared" si="3"/>
        <v>0.188</v>
      </c>
      <c r="P57" s="12">
        <v>188</v>
      </c>
    </row>
    <row r="58" spans="2:16" x14ac:dyDescent="0.25">
      <c r="B58" s="12" t="s">
        <v>302</v>
      </c>
      <c r="C58" s="12" t="s">
        <v>305</v>
      </c>
      <c r="D58" s="12">
        <v>16</v>
      </c>
      <c r="E58" s="12">
        <v>30</v>
      </c>
      <c r="F58" t="s">
        <v>307</v>
      </c>
      <c r="G58" s="35">
        <v>50001</v>
      </c>
      <c r="H58" s="35">
        <v>999999</v>
      </c>
      <c r="I58" s="127">
        <v>100000</v>
      </c>
      <c r="J58" s="138"/>
      <c r="K58" s="137"/>
      <c r="L58" s="138"/>
      <c r="O58" s="163">
        <f t="shared" si="3"/>
        <v>0.13700000000000001</v>
      </c>
      <c r="P58" s="12">
        <v>137</v>
      </c>
    </row>
    <row r="59" spans="2:16" x14ac:dyDescent="0.25">
      <c r="B59" s="12" t="s">
        <v>302</v>
      </c>
      <c r="C59" s="12" t="s">
        <v>322</v>
      </c>
      <c r="D59" s="12">
        <v>16</v>
      </c>
      <c r="E59" s="12">
        <v>30</v>
      </c>
      <c r="F59" t="s">
        <v>307</v>
      </c>
      <c r="G59" s="35">
        <v>0</v>
      </c>
      <c r="H59" s="35">
        <v>1000</v>
      </c>
      <c r="I59" s="127">
        <v>1000</v>
      </c>
      <c r="J59" s="138"/>
      <c r="K59" s="137"/>
      <c r="L59" s="138"/>
      <c r="O59" s="163">
        <f t="shared" si="3"/>
        <v>0.112</v>
      </c>
      <c r="P59" s="12">
        <v>112</v>
      </c>
    </row>
    <row r="60" spans="2:16" x14ac:dyDescent="0.25">
      <c r="B60" s="12" t="s">
        <v>302</v>
      </c>
      <c r="C60" s="12" t="s">
        <v>322</v>
      </c>
      <c r="D60" s="12">
        <v>16</v>
      </c>
      <c r="E60" s="12">
        <v>30</v>
      </c>
      <c r="F60" t="s">
        <v>307</v>
      </c>
      <c r="G60" s="35">
        <v>1001</v>
      </c>
      <c r="H60" s="35">
        <v>2000</v>
      </c>
      <c r="I60" s="127">
        <v>2000</v>
      </c>
      <c r="J60" s="138"/>
      <c r="K60" s="137"/>
      <c r="L60" s="138"/>
      <c r="O60" s="163">
        <f t="shared" si="3"/>
        <v>9.8000000000000004E-2</v>
      </c>
      <c r="P60" s="12">
        <v>98</v>
      </c>
    </row>
    <row r="61" spans="2:16" x14ac:dyDescent="0.25">
      <c r="B61" s="12" t="s">
        <v>302</v>
      </c>
      <c r="C61" s="12" t="s">
        <v>322</v>
      </c>
      <c r="D61" s="12">
        <v>16</v>
      </c>
      <c r="E61" s="12">
        <v>30</v>
      </c>
      <c r="F61" t="s">
        <v>307</v>
      </c>
      <c r="G61" s="35">
        <v>2001</v>
      </c>
      <c r="H61" s="35">
        <v>2500</v>
      </c>
      <c r="I61" s="127">
        <v>2500</v>
      </c>
      <c r="J61" s="138"/>
      <c r="K61" s="137"/>
      <c r="L61" s="138"/>
      <c r="O61" s="163">
        <f t="shared" si="3"/>
        <v>8.8999999999999996E-2</v>
      </c>
      <c r="P61" s="12">
        <v>89</v>
      </c>
    </row>
    <row r="62" spans="2:16" x14ac:dyDescent="0.25">
      <c r="B62" s="12" t="s">
        <v>302</v>
      </c>
      <c r="C62" s="12" t="s">
        <v>322</v>
      </c>
      <c r="D62" s="12">
        <v>16</v>
      </c>
      <c r="E62" s="12">
        <v>30</v>
      </c>
      <c r="F62" t="s">
        <v>307</v>
      </c>
      <c r="G62" s="35">
        <v>3001</v>
      </c>
      <c r="H62" s="35">
        <v>5000</v>
      </c>
      <c r="I62" s="127">
        <v>5000</v>
      </c>
      <c r="J62" s="138"/>
      <c r="K62" s="137"/>
      <c r="L62" s="138"/>
      <c r="O62" s="163">
        <f t="shared" si="3"/>
        <v>8.1000000000000003E-2</v>
      </c>
      <c r="P62" s="12">
        <v>81</v>
      </c>
    </row>
    <row r="63" spans="2:16" x14ac:dyDescent="0.25">
      <c r="B63" s="12" t="s">
        <v>302</v>
      </c>
      <c r="C63" s="12" t="s">
        <v>322</v>
      </c>
      <c r="D63" s="12">
        <v>16</v>
      </c>
      <c r="E63" s="12">
        <v>30</v>
      </c>
      <c r="F63" t="s">
        <v>307</v>
      </c>
      <c r="G63" s="35">
        <v>5001</v>
      </c>
      <c r="H63" s="35">
        <v>10000</v>
      </c>
      <c r="I63" s="127">
        <v>10000</v>
      </c>
      <c r="J63" s="138"/>
      <c r="K63" s="137"/>
      <c r="L63" s="138"/>
      <c r="O63" s="163">
        <f t="shared" si="3"/>
        <v>7.5999999999999998E-2</v>
      </c>
      <c r="P63" s="12">
        <v>76</v>
      </c>
    </row>
    <row r="64" spans="2:16" x14ac:dyDescent="0.25">
      <c r="B64" s="12" t="s">
        <v>302</v>
      </c>
      <c r="C64" s="12" t="s">
        <v>322</v>
      </c>
      <c r="D64" s="12">
        <v>16</v>
      </c>
      <c r="E64" s="12">
        <v>30</v>
      </c>
      <c r="F64" t="s">
        <v>307</v>
      </c>
      <c r="G64" s="35">
        <v>10001</v>
      </c>
      <c r="H64" s="35">
        <v>20000</v>
      </c>
      <c r="I64" s="127">
        <v>20000</v>
      </c>
      <c r="J64" s="138"/>
      <c r="K64" s="137"/>
      <c r="L64" s="138"/>
      <c r="O64" s="163">
        <f t="shared" si="3"/>
        <v>0.40329999999999999</v>
      </c>
      <c r="P64" s="23">
        <f>+P3*1.85</f>
        <v>403.3</v>
      </c>
    </row>
    <row r="65" spans="2:16" x14ac:dyDescent="0.25">
      <c r="B65" s="12" t="s">
        <v>302</v>
      </c>
      <c r="C65" s="12" t="s">
        <v>322</v>
      </c>
      <c r="D65" s="12">
        <v>16</v>
      </c>
      <c r="E65" s="12">
        <v>30</v>
      </c>
      <c r="F65" t="s">
        <v>307</v>
      </c>
      <c r="G65" s="35">
        <v>20001</v>
      </c>
      <c r="H65" s="35">
        <v>50000</v>
      </c>
      <c r="I65" s="127">
        <v>50000</v>
      </c>
      <c r="J65" s="138"/>
      <c r="K65" s="137"/>
      <c r="L65" s="138"/>
      <c r="O65" s="163">
        <f t="shared" si="3"/>
        <v>0.69374999999999998</v>
      </c>
      <c r="P65" s="23">
        <f t="shared" ref="P65:P124" si="4">+P4*1.85</f>
        <v>693.75</v>
      </c>
    </row>
    <row r="66" spans="2:16" x14ac:dyDescent="0.25">
      <c r="B66" s="12" t="s">
        <v>302</v>
      </c>
      <c r="C66" s="12" t="s">
        <v>322</v>
      </c>
      <c r="D66" s="12">
        <v>16</v>
      </c>
      <c r="E66" s="12">
        <v>30</v>
      </c>
      <c r="F66" t="s">
        <v>307</v>
      </c>
      <c r="G66" s="35">
        <v>50001</v>
      </c>
      <c r="H66" s="35">
        <v>999999</v>
      </c>
      <c r="I66" s="127">
        <v>100000</v>
      </c>
      <c r="J66" s="138"/>
      <c r="K66" s="137"/>
      <c r="L66" s="138"/>
      <c r="O66" s="163">
        <f t="shared" si="3"/>
        <v>0.38850000000000001</v>
      </c>
      <c r="P66" s="23">
        <f t="shared" si="4"/>
        <v>388.5</v>
      </c>
    </row>
    <row r="67" spans="2:16" x14ac:dyDescent="0.25">
      <c r="B67" s="12" t="s">
        <v>302</v>
      </c>
      <c r="C67" s="12" t="s">
        <v>306</v>
      </c>
      <c r="D67" s="12">
        <v>31</v>
      </c>
      <c r="E67" s="12">
        <v>50</v>
      </c>
      <c r="F67" t="s">
        <v>307</v>
      </c>
      <c r="G67" s="35">
        <v>0</v>
      </c>
      <c r="H67" s="35">
        <v>1000</v>
      </c>
      <c r="I67" s="127">
        <v>1000</v>
      </c>
      <c r="J67" s="138"/>
      <c r="K67" s="137"/>
      <c r="L67" s="138"/>
      <c r="O67" s="163">
        <f t="shared" si="3"/>
        <v>0.28860000000000002</v>
      </c>
      <c r="P67" s="23">
        <f t="shared" si="4"/>
        <v>288.60000000000002</v>
      </c>
    </row>
    <row r="68" spans="2:16" x14ac:dyDescent="0.25">
      <c r="B68" s="12" t="s">
        <v>302</v>
      </c>
      <c r="C68" s="12" t="s">
        <v>306</v>
      </c>
      <c r="D68" s="12">
        <v>31</v>
      </c>
      <c r="E68" s="12">
        <v>50</v>
      </c>
      <c r="F68" t="s">
        <v>307</v>
      </c>
      <c r="G68" s="35">
        <v>1001</v>
      </c>
      <c r="H68" s="35">
        <v>2000</v>
      </c>
      <c r="I68" s="127">
        <v>2000</v>
      </c>
      <c r="J68" s="138"/>
      <c r="K68" s="137"/>
      <c r="L68" s="138"/>
      <c r="O68" s="163">
        <f t="shared" ref="O68:O124" si="5">+P68/1000</f>
        <v>0.27010000000000001</v>
      </c>
      <c r="P68" s="23">
        <f t="shared" si="4"/>
        <v>270.10000000000002</v>
      </c>
    </row>
    <row r="69" spans="2:16" x14ac:dyDescent="0.25">
      <c r="B69" s="12" t="s">
        <v>302</v>
      </c>
      <c r="C69" s="12" t="s">
        <v>306</v>
      </c>
      <c r="D69" s="12">
        <v>31</v>
      </c>
      <c r="E69" s="12">
        <v>50</v>
      </c>
      <c r="F69" t="s">
        <v>307</v>
      </c>
      <c r="G69" s="35">
        <v>2001</v>
      </c>
      <c r="H69" s="35">
        <v>2500</v>
      </c>
      <c r="I69" s="127">
        <v>2500</v>
      </c>
      <c r="J69" s="138"/>
      <c r="K69" s="137"/>
      <c r="L69" s="138"/>
      <c r="O69" s="163">
        <f t="shared" si="5"/>
        <v>0.23495000000000002</v>
      </c>
      <c r="P69" s="23">
        <f t="shared" si="4"/>
        <v>234.95000000000002</v>
      </c>
    </row>
    <row r="70" spans="2:16" x14ac:dyDescent="0.25">
      <c r="B70" s="12" t="s">
        <v>302</v>
      </c>
      <c r="C70" s="12" t="s">
        <v>306</v>
      </c>
      <c r="D70" s="12">
        <v>31</v>
      </c>
      <c r="E70" s="12">
        <v>50</v>
      </c>
      <c r="F70" t="s">
        <v>307</v>
      </c>
      <c r="G70" s="35">
        <v>3001</v>
      </c>
      <c r="H70" s="35">
        <v>5000</v>
      </c>
      <c r="I70" s="127">
        <v>5000</v>
      </c>
      <c r="J70" s="138"/>
      <c r="K70" s="137"/>
      <c r="L70" s="138"/>
      <c r="O70" s="163">
        <f t="shared" si="5"/>
        <v>0.20720000000000002</v>
      </c>
      <c r="P70" s="23">
        <f t="shared" si="4"/>
        <v>207.20000000000002</v>
      </c>
    </row>
    <row r="71" spans="2:16" x14ac:dyDescent="0.25">
      <c r="B71" s="12" t="s">
        <v>302</v>
      </c>
      <c r="C71" s="12" t="s">
        <v>306</v>
      </c>
      <c r="D71" s="12">
        <v>31</v>
      </c>
      <c r="E71" s="12">
        <v>50</v>
      </c>
      <c r="F71" t="s">
        <v>307</v>
      </c>
      <c r="G71" s="35">
        <v>5001</v>
      </c>
      <c r="H71" s="35">
        <v>10000</v>
      </c>
      <c r="I71" s="127">
        <v>10000</v>
      </c>
      <c r="J71" s="138"/>
      <c r="K71" s="137"/>
      <c r="L71" s="138"/>
      <c r="O71" s="163">
        <f t="shared" si="5"/>
        <v>0.69374999999999998</v>
      </c>
      <c r="P71" s="23">
        <f t="shared" si="4"/>
        <v>693.75</v>
      </c>
    </row>
    <row r="72" spans="2:16" x14ac:dyDescent="0.25">
      <c r="B72" s="12" t="s">
        <v>302</v>
      </c>
      <c r="C72" s="12" t="s">
        <v>306</v>
      </c>
      <c r="D72" s="12">
        <v>31</v>
      </c>
      <c r="E72" s="12">
        <v>50</v>
      </c>
      <c r="F72" t="s">
        <v>307</v>
      </c>
      <c r="G72" s="35">
        <v>10001</v>
      </c>
      <c r="H72" s="35">
        <v>20000</v>
      </c>
      <c r="I72" s="127">
        <v>20000</v>
      </c>
      <c r="J72" s="138"/>
      <c r="K72" s="137"/>
      <c r="L72" s="138"/>
      <c r="O72" s="163">
        <f t="shared" si="5"/>
        <v>0.38295000000000007</v>
      </c>
      <c r="P72" s="23">
        <f t="shared" si="4"/>
        <v>382.95000000000005</v>
      </c>
    </row>
    <row r="73" spans="2:16" x14ac:dyDescent="0.25">
      <c r="B73" s="12" t="s">
        <v>302</v>
      </c>
      <c r="C73" s="12" t="s">
        <v>306</v>
      </c>
      <c r="D73" s="12">
        <v>31</v>
      </c>
      <c r="E73" s="12">
        <v>50</v>
      </c>
      <c r="F73" t="s">
        <v>307</v>
      </c>
      <c r="G73" s="35">
        <v>20001</v>
      </c>
      <c r="H73" s="35">
        <v>50000</v>
      </c>
      <c r="I73" s="127">
        <v>50000</v>
      </c>
      <c r="J73" s="138"/>
      <c r="K73" s="137"/>
      <c r="L73" s="138"/>
      <c r="O73" s="163">
        <f t="shared" si="5"/>
        <v>0.28305000000000002</v>
      </c>
      <c r="P73" s="23">
        <f t="shared" si="4"/>
        <v>283.05</v>
      </c>
    </row>
    <row r="74" spans="2:16" x14ac:dyDescent="0.25">
      <c r="B74" s="12" t="s">
        <v>302</v>
      </c>
      <c r="C74" s="12" t="s">
        <v>306</v>
      </c>
      <c r="D74" s="12">
        <v>31</v>
      </c>
      <c r="E74" s="12">
        <v>50</v>
      </c>
      <c r="F74" t="s">
        <v>307</v>
      </c>
      <c r="G74" s="35">
        <v>50001</v>
      </c>
      <c r="H74" s="35">
        <v>999999</v>
      </c>
      <c r="I74" s="127">
        <v>100000</v>
      </c>
      <c r="J74" s="138"/>
      <c r="K74" s="137"/>
      <c r="L74" s="138"/>
      <c r="O74" s="163">
        <f t="shared" si="5"/>
        <v>0.24420000000000003</v>
      </c>
      <c r="P74" s="23">
        <f>+P13*1.85</f>
        <v>244.20000000000002</v>
      </c>
    </row>
    <row r="75" spans="2:16" x14ac:dyDescent="0.25">
      <c r="B75" s="12" t="s">
        <v>302</v>
      </c>
      <c r="C75" s="12" t="s">
        <v>301</v>
      </c>
      <c r="D75" s="12">
        <v>31</v>
      </c>
      <c r="E75" s="12">
        <v>50</v>
      </c>
      <c r="F75" t="s">
        <v>307</v>
      </c>
      <c r="G75" s="35">
        <v>0</v>
      </c>
      <c r="H75" s="35">
        <v>1000</v>
      </c>
      <c r="I75" s="127">
        <v>1000</v>
      </c>
      <c r="J75" s="138"/>
      <c r="K75" s="137"/>
      <c r="L75" s="138"/>
      <c r="O75" s="163">
        <f t="shared" si="5"/>
        <v>0.21645</v>
      </c>
      <c r="P75" s="23">
        <f t="shared" si="4"/>
        <v>216.45000000000002</v>
      </c>
    </row>
    <row r="76" spans="2:16" x14ac:dyDescent="0.25">
      <c r="B76" s="12" t="s">
        <v>302</v>
      </c>
      <c r="C76" s="12" t="s">
        <v>301</v>
      </c>
      <c r="D76" s="12">
        <v>31</v>
      </c>
      <c r="E76" s="12">
        <v>50</v>
      </c>
      <c r="F76" t="s">
        <v>307</v>
      </c>
      <c r="G76" s="35">
        <v>1001</v>
      </c>
      <c r="H76" s="35">
        <v>2000</v>
      </c>
      <c r="I76" s="127">
        <v>2000</v>
      </c>
      <c r="J76" s="138"/>
      <c r="K76" s="137"/>
      <c r="L76" s="138"/>
      <c r="O76" s="163">
        <f t="shared" si="5"/>
        <v>0.19795000000000001</v>
      </c>
      <c r="P76" s="23">
        <f t="shared" si="4"/>
        <v>197.95000000000002</v>
      </c>
    </row>
    <row r="77" spans="2:16" x14ac:dyDescent="0.25">
      <c r="B77" s="12" t="s">
        <v>302</v>
      </c>
      <c r="C77" s="12" t="s">
        <v>301</v>
      </c>
      <c r="D77" s="12">
        <v>31</v>
      </c>
      <c r="E77" s="12">
        <v>50</v>
      </c>
      <c r="F77" t="s">
        <v>307</v>
      </c>
      <c r="G77" s="35">
        <v>2001</v>
      </c>
      <c r="H77" s="35">
        <v>2500</v>
      </c>
      <c r="I77" s="127">
        <v>2500</v>
      </c>
      <c r="J77" s="138"/>
      <c r="K77" s="137"/>
      <c r="L77" s="138"/>
      <c r="O77" s="163">
        <f t="shared" si="5"/>
        <v>0.17760000000000004</v>
      </c>
      <c r="P77" s="23">
        <f t="shared" si="4"/>
        <v>177.60000000000002</v>
      </c>
    </row>
    <row r="78" spans="2:16" x14ac:dyDescent="0.25">
      <c r="B78" s="12" t="s">
        <v>302</v>
      </c>
      <c r="C78" s="12" t="s">
        <v>301</v>
      </c>
      <c r="D78" s="12">
        <v>31</v>
      </c>
      <c r="E78" s="12">
        <v>50</v>
      </c>
      <c r="F78" t="s">
        <v>307</v>
      </c>
      <c r="G78" s="35">
        <v>3001</v>
      </c>
      <c r="H78" s="35">
        <v>5000</v>
      </c>
      <c r="I78" s="127">
        <v>5000</v>
      </c>
      <c r="J78" s="138"/>
      <c r="K78" s="137"/>
      <c r="L78" s="138"/>
      <c r="O78" s="163">
        <f t="shared" si="5"/>
        <v>0.16465000000000002</v>
      </c>
      <c r="P78" s="23">
        <f t="shared" si="4"/>
        <v>164.65</v>
      </c>
    </row>
    <row r="79" spans="2:16" x14ac:dyDescent="0.25">
      <c r="B79" s="12" t="s">
        <v>302</v>
      </c>
      <c r="C79" s="12" t="s">
        <v>301</v>
      </c>
      <c r="D79" s="12">
        <v>31</v>
      </c>
      <c r="E79" s="12">
        <v>50</v>
      </c>
      <c r="F79" t="s">
        <v>307</v>
      </c>
      <c r="G79" s="35">
        <v>5001</v>
      </c>
      <c r="H79" s="35">
        <v>10000</v>
      </c>
      <c r="I79" s="127">
        <v>10000</v>
      </c>
      <c r="J79" s="138"/>
      <c r="K79" s="137"/>
      <c r="L79" s="138"/>
      <c r="O79" s="163">
        <f t="shared" si="5"/>
        <v>0.69374999999999998</v>
      </c>
      <c r="P79" s="23">
        <f t="shared" si="4"/>
        <v>693.75</v>
      </c>
    </row>
    <row r="80" spans="2:16" x14ac:dyDescent="0.25">
      <c r="B80" s="12" t="s">
        <v>302</v>
      </c>
      <c r="C80" s="12" t="s">
        <v>301</v>
      </c>
      <c r="D80" s="12">
        <v>31</v>
      </c>
      <c r="E80" s="12">
        <v>50</v>
      </c>
      <c r="F80" t="s">
        <v>307</v>
      </c>
      <c r="G80" s="35">
        <v>10001</v>
      </c>
      <c r="H80" s="35">
        <v>20000</v>
      </c>
      <c r="I80" s="127">
        <v>20000</v>
      </c>
      <c r="J80" s="138"/>
      <c r="K80" s="137"/>
      <c r="L80" s="138"/>
      <c r="O80" s="163">
        <f t="shared" si="5"/>
        <v>0.37740000000000001</v>
      </c>
      <c r="P80" s="23">
        <f t="shared" si="4"/>
        <v>377.40000000000003</v>
      </c>
    </row>
    <row r="81" spans="2:16" x14ac:dyDescent="0.25">
      <c r="B81" s="12" t="s">
        <v>302</v>
      </c>
      <c r="C81" s="12" t="s">
        <v>301</v>
      </c>
      <c r="D81" s="12">
        <v>31</v>
      </c>
      <c r="E81" s="12">
        <v>50</v>
      </c>
      <c r="F81" t="s">
        <v>307</v>
      </c>
      <c r="G81" s="35">
        <v>20001</v>
      </c>
      <c r="H81" s="35">
        <v>50000</v>
      </c>
      <c r="I81" s="127">
        <v>50000</v>
      </c>
      <c r="J81" s="138"/>
      <c r="K81" s="137"/>
      <c r="L81" s="138"/>
      <c r="O81" s="163">
        <f t="shared" si="5"/>
        <v>0.27565000000000006</v>
      </c>
      <c r="P81" s="23">
        <f t="shared" si="4"/>
        <v>275.65000000000003</v>
      </c>
    </row>
    <row r="82" spans="2:16" x14ac:dyDescent="0.25">
      <c r="B82" s="12" t="s">
        <v>302</v>
      </c>
      <c r="C82" s="12" t="s">
        <v>301</v>
      </c>
      <c r="D82" s="12">
        <v>31</v>
      </c>
      <c r="E82" s="12">
        <v>50</v>
      </c>
      <c r="F82" t="s">
        <v>307</v>
      </c>
      <c r="G82" s="35">
        <v>50001</v>
      </c>
      <c r="H82" s="35">
        <v>999999</v>
      </c>
      <c r="I82" s="127">
        <v>100000</v>
      </c>
      <c r="J82" s="138"/>
      <c r="K82" s="137"/>
      <c r="L82" s="138"/>
      <c r="O82" s="163">
        <f t="shared" si="5"/>
        <v>0.23495000000000002</v>
      </c>
      <c r="P82" s="23">
        <f t="shared" si="4"/>
        <v>234.95000000000002</v>
      </c>
    </row>
    <row r="83" spans="2:16" x14ac:dyDescent="0.25">
      <c r="B83" s="12" t="s">
        <v>302</v>
      </c>
      <c r="C83" s="12" t="s">
        <v>305</v>
      </c>
      <c r="D83" s="12">
        <v>31</v>
      </c>
      <c r="E83" s="12">
        <v>50</v>
      </c>
      <c r="F83" t="s">
        <v>307</v>
      </c>
      <c r="G83" s="35">
        <v>0</v>
      </c>
      <c r="H83" s="35">
        <v>1000</v>
      </c>
      <c r="I83" s="127">
        <v>1000</v>
      </c>
      <c r="J83" s="138"/>
      <c r="K83" s="137"/>
      <c r="L83" s="138"/>
      <c r="O83" s="163">
        <f t="shared" si="5"/>
        <v>0.21274999999999999</v>
      </c>
      <c r="P83" s="23">
        <f t="shared" si="4"/>
        <v>212.75</v>
      </c>
    </row>
    <row r="84" spans="2:16" x14ac:dyDescent="0.25">
      <c r="B84" s="12" t="s">
        <v>302</v>
      </c>
      <c r="C84" s="12" t="s">
        <v>305</v>
      </c>
      <c r="D84" s="12">
        <v>31</v>
      </c>
      <c r="E84" s="12">
        <v>50</v>
      </c>
      <c r="F84" t="s">
        <v>307</v>
      </c>
      <c r="G84" s="35">
        <v>1001</v>
      </c>
      <c r="H84" s="35">
        <v>2000</v>
      </c>
      <c r="I84" s="127">
        <v>2000</v>
      </c>
      <c r="J84" s="138"/>
      <c r="K84" s="137"/>
      <c r="L84" s="138"/>
      <c r="O84" s="163">
        <f t="shared" si="5"/>
        <v>0.18870000000000001</v>
      </c>
      <c r="P84" s="23">
        <f t="shared" si="4"/>
        <v>188.70000000000002</v>
      </c>
    </row>
    <row r="85" spans="2:16" x14ac:dyDescent="0.25">
      <c r="B85" s="12" t="s">
        <v>302</v>
      </c>
      <c r="C85" s="12" t="s">
        <v>305</v>
      </c>
      <c r="D85" s="12">
        <v>31</v>
      </c>
      <c r="E85" s="12">
        <v>50</v>
      </c>
      <c r="F85" t="s">
        <v>307</v>
      </c>
      <c r="G85" s="35">
        <v>2001</v>
      </c>
      <c r="H85" s="35">
        <v>2500</v>
      </c>
      <c r="I85" s="127">
        <v>2500</v>
      </c>
      <c r="J85" s="138"/>
      <c r="K85" s="137"/>
      <c r="L85" s="138"/>
      <c r="O85" s="163">
        <f t="shared" si="5"/>
        <v>0.69374999999999998</v>
      </c>
      <c r="P85" s="23">
        <f t="shared" si="4"/>
        <v>693.75</v>
      </c>
    </row>
    <row r="86" spans="2:16" x14ac:dyDescent="0.25">
      <c r="B86" s="12" t="s">
        <v>302</v>
      </c>
      <c r="C86" s="12" t="s">
        <v>305</v>
      </c>
      <c r="D86" s="12">
        <v>31</v>
      </c>
      <c r="E86" s="12">
        <v>50</v>
      </c>
      <c r="F86" t="s">
        <v>307</v>
      </c>
      <c r="G86" s="35">
        <v>3001</v>
      </c>
      <c r="H86" s="35">
        <v>5000</v>
      </c>
      <c r="I86" s="127">
        <v>5000</v>
      </c>
      <c r="J86" s="138"/>
      <c r="K86" s="137"/>
      <c r="L86" s="138"/>
      <c r="O86" s="163">
        <f t="shared" si="5"/>
        <v>0.36815000000000003</v>
      </c>
      <c r="P86" s="23">
        <f t="shared" si="4"/>
        <v>368.15000000000003</v>
      </c>
    </row>
    <row r="87" spans="2:16" x14ac:dyDescent="0.25">
      <c r="B87" s="12" t="s">
        <v>302</v>
      </c>
      <c r="C87" s="12" t="s">
        <v>305</v>
      </c>
      <c r="D87" s="12">
        <v>31</v>
      </c>
      <c r="E87" s="12">
        <v>50</v>
      </c>
      <c r="F87" t="s">
        <v>307</v>
      </c>
      <c r="G87" s="35">
        <v>5001</v>
      </c>
      <c r="H87" s="35">
        <v>10000</v>
      </c>
      <c r="I87" s="127">
        <v>10000</v>
      </c>
      <c r="J87" s="138"/>
      <c r="K87" s="137"/>
      <c r="L87" s="138"/>
      <c r="O87" s="163">
        <f t="shared" si="5"/>
        <v>0.26824999999999999</v>
      </c>
      <c r="P87" s="23">
        <f t="shared" si="4"/>
        <v>268.25</v>
      </c>
    </row>
    <row r="88" spans="2:16" x14ac:dyDescent="0.25">
      <c r="B88" s="12" t="s">
        <v>302</v>
      </c>
      <c r="C88" s="12" t="s">
        <v>305</v>
      </c>
      <c r="D88" s="12">
        <v>31</v>
      </c>
      <c r="E88" s="12">
        <v>50</v>
      </c>
      <c r="F88" t="s">
        <v>307</v>
      </c>
      <c r="G88" s="35">
        <v>10001</v>
      </c>
      <c r="H88" s="35">
        <v>20000</v>
      </c>
      <c r="I88" s="127">
        <v>20000</v>
      </c>
      <c r="J88" s="138"/>
      <c r="K88" s="137"/>
      <c r="L88" s="138"/>
      <c r="O88" s="163">
        <f t="shared" si="5"/>
        <v>0.222</v>
      </c>
      <c r="P88" s="23">
        <f t="shared" si="4"/>
        <v>222</v>
      </c>
    </row>
    <row r="89" spans="2:16" x14ac:dyDescent="0.25">
      <c r="B89" s="12" t="s">
        <v>302</v>
      </c>
      <c r="C89" s="12" t="s">
        <v>305</v>
      </c>
      <c r="D89" s="12">
        <v>31</v>
      </c>
      <c r="E89" s="12">
        <v>50</v>
      </c>
      <c r="F89" t="s">
        <v>307</v>
      </c>
      <c r="G89" s="35">
        <v>20001</v>
      </c>
      <c r="H89" s="35">
        <v>50000</v>
      </c>
      <c r="I89" s="127">
        <v>50000</v>
      </c>
      <c r="J89" s="138"/>
      <c r="K89" s="137"/>
      <c r="L89" s="138"/>
      <c r="O89" s="163">
        <f t="shared" si="5"/>
        <v>0.20535000000000003</v>
      </c>
      <c r="P89" s="23">
        <f t="shared" si="4"/>
        <v>205.35000000000002</v>
      </c>
    </row>
    <row r="90" spans="2:16" x14ac:dyDescent="0.25">
      <c r="B90" s="12" t="s">
        <v>302</v>
      </c>
      <c r="C90" s="12" t="s">
        <v>305</v>
      </c>
      <c r="D90" s="12">
        <v>31</v>
      </c>
      <c r="E90" s="12">
        <v>50</v>
      </c>
      <c r="F90" t="s">
        <v>307</v>
      </c>
      <c r="G90" s="35">
        <v>50001</v>
      </c>
      <c r="H90" s="35">
        <v>999999</v>
      </c>
      <c r="I90" s="127">
        <v>100000</v>
      </c>
      <c r="J90" s="138"/>
      <c r="K90" s="137"/>
      <c r="L90" s="138"/>
      <c r="O90" s="163">
        <f t="shared" si="5"/>
        <v>0.18130000000000002</v>
      </c>
      <c r="P90" s="23">
        <f t="shared" si="4"/>
        <v>181.3</v>
      </c>
    </row>
    <row r="91" spans="2:16" x14ac:dyDescent="0.25">
      <c r="B91" s="12" t="s">
        <v>302</v>
      </c>
      <c r="C91" s="12" t="s">
        <v>322</v>
      </c>
      <c r="D91" s="12">
        <v>31</v>
      </c>
      <c r="E91" s="12">
        <v>50</v>
      </c>
      <c r="F91" t="s">
        <v>307</v>
      </c>
      <c r="G91" s="35">
        <v>0</v>
      </c>
      <c r="H91" s="35">
        <v>1000</v>
      </c>
      <c r="I91" s="127">
        <v>1000</v>
      </c>
      <c r="J91" s="138"/>
      <c r="K91" s="137"/>
      <c r="L91" s="138"/>
      <c r="O91" s="163">
        <f t="shared" si="5"/>
        <v>0.16835</v>
      </c>
      <c r="P91" s="23">
        <f t="shared" si="4"/>
        <v>168.35</v>
      </c>
    </row>
    <row r="92" spans="2:16" x14ac:dyDescent="0.25">
      <c r="B92" s="12" t="s">
        <v>302</v>
      </c>
      <c r="C92" s="12" t="s">
        <v>322</v>
      </c>
      <c r="D92" s="12">
        <v>31</v>
      </c>
      <c r="E92" s="12">
        <v>50</v>
      </c>
      <c r="F92" t="s">
        <v>307</v>
      </c>
      <c r="G92" s="35">
        <v>1001</v>
      </c>
      <c r="H92" s="35">
        <v>2000</v>
      </c>
      <c r="I92" s="127">
        <v>2000</v>
      </c>
      <c r="J92" s="138"/>
      <c r="K92" s="137"/>
      <c r="L92" s="138"/>
      <c r="O92" s="163">
        <f t="shared" si="5"/>
        <v>0.15540000000000001</v>
      </c>
      <c r="P92" s="23">
        <f t="shared" si="4"/>
        <v>155.4</v>
      </c>
    </row>
    <row r="93" spans="2:16" x14ac:dyDescent="0.25">
      <c r="B93" s="12" t="s">
        <v>302</v>
      </c>
      <c r="C93" s="12" t="s">
        <v>322</v>
      </c>
      <c r="D93" s="12">
        <v>31</v>
      </c>
      <c r="E93" s="12">
        <v>50</v>
      </c>
      <c r="F93" t="s">
        <v>307</v>
      </c>
      <c r="G93" s="35">
        <v>2001</v>
      </c>
      <c r="H93" s="35">
        <v>2500</v>
      </c>
      <c r="I93" s="127">
        <v>2500</v>
      </c>
      <c r="J93" s="138"/>
      <c r="K93" s="137"/>
      <c r="L93" s="138"/>
      <c r="O93" s="163">
        <f t="shared" si="5"/>
        <v>0.69374999999999998</v>
      </c>
      <c r="P93" s="23">
        <f t="shared" si="4"/>
        <v>693.75</v>
      </c>
    </row>
    <row r="94" spans="2:16" x14ac:dyDescent="0.25">
      <c r="B94" s="12" t="s">
        <v>302</v>
      </c>
      <c r="C94" s="12" t="s">
        <v>322</v>
      </c>
      <c r="D94" s="12">
        <v>31</v>
      </c>
      <c r="E94" s="12">
        <v>50</v>
      </c>
      <c r="F94" t="s">
        <v>307</v>
      </c>
      <c r="G94" s="35">
        <v>3001</v>
      </c>
      <c r="H94" s="35">
        <v>5000</v>
      </c>
      <c r="I94" s="127">
        <v>5000</v>
      </c>
      <c r="J94" s="138"/>
      <c r="K94" s="137"/>
      <c r="L94" s="138"/>
      <c r="O94" s="163">
        <f t="shared" si="5"/>
        <v>0.35705000000000003</v>
      </c>
      <c r="P94" s="23">
        <f t="shared" si="4"/>
        <v>357.05</v>
      </c>
    </row>
    <row r="95" spans="2:16" x14ac:dyDescent="0.25">
      <c r="B95" s="12" t="s">
        <v>302</v>
      </c>
      <c r="C95" s="12" t="s">
        <v>322</v>
      </c>
      <c r="D95" s="12">
        <v>31</v>
      </c>
      <c r="E95" s="12">
        <v>50</v>
      </c>
      <c r="F95" t="s">
        <v>307</v>
      </c>
      <c r="G95" s="35">
        <v>5001</v>
      </c>
      <c r="H95" s="35">
        <v>10000</v>
      </c>
      <c r="I95" s="127">
        <v>10000</v>
      </c>
      <c r="J95" s="138"/>
      <c r="K95" s="137"/>
      <c r="L95" s="138"/>
      <c r="O95" s="163">
        <f t="shared" si="5"/>
        <v>0.25900000000000001</v>
      </c>
      <c r="P95" s="23">
        <f t="shared" si="4"/>
        <v>259</v>
      </c>
    </row>
    <row r="96" spans="2:16" x14ac:dyDescent="0.25">
      <c r="B96" s="12" t="s">
        <v>302</v>
      </c>
      <c r="C96" s="12" t="s">
        <v>322</v>
      </c>
      <c r="D96" s="12">
        <v>31</v>
      </c>
      <c r="E96" s="12">
        <v>50</v>
      </c>
      <c r="F96" t="s">
        <v>307</v>
      </c>
      <c r="G96" s="35">
        <v>10001</v>
      </c>
      <c r="H96" s="35">
        <v>20000</v>
      </c>
      <c r="I96" s="127">
        <v>20000</v>
      </c>
      <c r="J96" s="138"/>
      <c r="K96" s="137"/>
      <c r="L96" s="138"/>
      <c r="O96" s="163">
        <f t="shared" si="5"/>
        <v>0.21460000000000001</v>
      </c>
      <c r="P96" s="23">
        <f t="shared" si="4"/>
        <v>214.60000000000002</v>
      </c>
    </row>
    <row r="97" spans="2:16" x14ac:dyDescent="0.25">
      <c r="B97" s="12" t="s">
        <v>302</v>
      </c>
      <c r="C97" s="12" t="s">
        <v>322</v>
      </c>
      <c r="D97" s="12">
        <v>31</v>
      </c>
      <c r="E97" s="12">
        <v>50</v>
      </c>
      <c r="F97" t="s">
        <v>307</v>
      </c>
      <c r="G97" s="35">
        <v>20001</v>
      </c>
      <c r="H97" s="35">
        <v>50000</v>
      </c>
      <c r="I97" s="127">
        <v>50000</v>
      </c>
      <c r="J97" s="138"/>
      <c r="K97" s="137"/>
      <c r="L97" s="138"/>
      <c r="O97" s="163">
        <f t="shared" si="5"/>
        <v>0.19425000000000001</v>
      </c>
      <c r="P97" s="23">
        <f t="shared" si="4"/>
        <v>194.25</v>
      </c>
    </row>
    <row r="98" spans="2:16" x14ac:dyDescent="0.25">
      <c r="B98" s="12" t="s">
        <v>302</v>
      </c>
      <c r="C98" s="12" t="s">
        <v>322</v>
      </c>
      <c r="D98" s="12">
        <v>31</v>
      </c>
      <c r="E98" s="12">
        <v>50</v>
      </c>
      <c r="F98" t="s">
        <v>307</v>
      </c>
      <c r="G98" s="35">
        <v>50001</v>
      </c>
      <c r="H98" s="35">
        <v>999999</v>
      </c>
      <c r="I98" s="127">
        <v>100000</v>
      </c>
      <c r="J98" s="138"/>
      <c r="K98" s="137"/>
      <c r="L98" s="138"/>
      <c r="O98" s="163">
        <f t="shared" si="5"/>
        <v>0.1739</v>
      </c>
      <c r="P98" s="23">
        <f t="shared" si="4"/>
        <v>173.9</v>
      </c>
    </row>
    <row r="99" spans="2:16" x14ac:dyDescent="0.25">
      <c r="B99" s="12" t="s">
        <v>302</v>
      </c>
      <c r="C99" s="12" t="s">
        <v>306</v>
      </c>
      <c r="D99" s="12">
        <v>51</v>
      </c>
      <c r="E99" s="12">
        <v>75</v>
      </c>
      <c r="F99" t="s">
        <v>307</v>
      </c>
      <c r="G99" s="35">
        <v>0</v>
      </c>
      <c r="H99" s="35">
        <v>1000</v>
      </c>
      <c r="I99" s="127">
        <v>1000</v>
      </c>
      <c r="J99" s="138"/>
      <c r="K99" s="137"/>
      <c r="L99" s="138"/>
      <c r="O99" s="163">
        <f t="shared" si="5"/>
        <v>0.16095000000000001</v>
      </c>
      <c r="P99" s="23">
        <f t="shared" si="4"/>
        <v>160.95000000000002</v>
      </c>
    </row>
    <row r="100" spans="2:16" x14ac:dyDescent="0.25">
      <c r="B100" s="12" t="s">
        <v>302</v>
      </c>
      <c r="C100" s="12" t="s">
        <v>306</v>
      </c>
      <c r="D100" s="12">
        <v>51</v>
      </c>
      <c r="E100" s="12">
        <v>75</v>
      </c>
      <c r="F100" t="s">
        <v>307</v>
      </c>
      <c r="G100" s="35">
        <v>1001</v>
      </c>
      <c r="H100" s="35">
        <v>2000</v>
      </c>
      <c r="I100" s="127">
        <v>2000</v>
      </c>
      <c r="J100" s="138"/>
      <c r="K100" s="137"/>
      <c r="L100" s="138"/>
      <c r="O100" s="163">
        <f t="shared" si="5"/>
        <v>0.14799999999999999</v>
      </c>
      <c r="P100" s="23">
        <f t="shared" si="4"/>
        <v>148</v>
      </c>
    </row>
    <row r="101" spans="2:16" x14ac:dyDescent="0.25">
      <c r="B101" s="12" t="s">
        <v>302</v>
      </c>
      <c r="C101" s="12" t="s">
        <v>306</v>
      </c>
      <c r="D101" s="12">
        <v>51</v>
      </c>
      <c r="E101" s="12">
        <v>75</v>
      </c>
      <c r="F101" t="s">
        <v>307</v>
      </c>
      <c r="G101" s="35">
        <v>2001</v>
      </c>
      <c r="H101" s="35">
        <v>2500</v>
      </c>
      <c r="I101" s="127">
        <v>2500</v>
      </c>
      <c r="J101" s="138"/>
      <c r="K101" s="137"/>
      <c r="L101" s="138"/>
      <c r="O101" s="163">
        <f t="shared" si="5"/>
        <v>0.69374999999999998</v>
      </c>
      <c r="P101" s="23">
        <f t="shared" si="4"/>
        <v>693.75</v>
      </c>
    </row>
    <row r="102" spans="2:16" x14ac:dyDescent="0.25">
      <c r="B102" s="12" t="s">
        <v>302</v>
      </c>
      <c r="C102" s="12" t="s">
        <v>306</v>
      </c>
      <c r="D102" s="12">
        <v>51</v>
      </c>
      <c r="E102" s="12">
        <v>75</v>
      </c>
      <c r="F102" t="s">
        <v>307</v>
      </c>
      <c r="G102" s="35">
        <v>3001</v>
      </c>
      <c r="H102" s="35">
        <v>5000</v>
      </c>
      <c r="I102" s="127">
        <v>5000</v>
      </c>
      <c r="J102" s="138"/>
      <c r="K102" s="137"/>
      <c r="L102" s="138"/>
      <c r="O102" s="163">
        <f t="shared" si="5"/>
        <v>0.35705000000000003</v>
      </c>
      <c r="P102" s="23">
        <f t="shared" si="4"/>
        <v>357.05</v>
      </c>
    </row>
    <row r="103" spans="2:16" x14ac:dyDescent="0.25">
      <c r="B103" s="12" t="s">
        <v>302</v>
      </c>
      <c r="C103" s="12" t="s">
        <v>306</v>
      </c>
      <c r="D103" s="12">
        <v>51</v>
      </c>
      <c r="E103" s="12">
        <v>75</v>
      </c>
      <c r="F103" t="s">
        <v>307</v>
      </c>
      <c r="G103" s="35">
        <v>5001</v>
      </c>
      <c r="H103" s="35">
        <v>10000</v>
      </c>
      <c r="I103" s="127">
        <v>10000</v>
      </c>
      <c r="J103" s="138"/>
      <c r="K103" s="137"/>
      <c r="L103" s="138"/>
      <c r="O103" s="163">
        <f t="shared" si="5"/>
        <v>0.25900000000000001</v>
      </c>
      <c r="P103" s="23">
        <f t="shared" si="4"/>
        <v>259</v>
      </c>
    </row>
    <row r="104" spans="2:16" x14ac:dyDescent="0.25">
      <c r="B104" s="12" t="s">
        <v>302</v>
      </c>
      <c r="C104" s="12" t="s">
        <v>306</v>
      </c>
      <c r="D104" s="12">
        <v>51</v>
      </c>
      <c r="E104" s="12">
        <v>75</v>
      </c>
      <c r="F104" t="s">
        <v>307</v>
      </c>
      <c r="G104" s="35">
        <v>10001</v>
      </c>
      <c r="H104" s="35">
        <v>20000</v>
      </c>
      <c r="I104" s="127">
        <v>20000</v>
      </c>
      <c r="J104" s="138"/>
      <c r="K104" s="137"/>
      <c r="L104" s="138"/>
      <c r="O104" s="163">
        <f t="shared" si="5"/>
        <v>0.21460000000000001</v>
      </c>
      <c r="P104" s="23">
        <f t="shared" si="4"/>
        <v>214.60000000000002</v>
      </c>
    </row>
    <row r="105" spans="2:16" x14ac:dyDescent="0.25">
      <c r="B105" s="12" t="s">
        <v>302</v>
      </c>
      <c r="C105" s="12" t="s">
        <v>306</v>
      </c>
      <c r="D105" s="12">
        <v>51</v>
      </c>
      <c r="E105" s="12">
        <v>75</v>
      </c>
      <c r="F105" t="s">
        <v>307</v>
      </c>
      <c r="G105" s="35">
        <v>20001</v>
      </c>
      <c r="H105" s="35">
        <v>50000</v>
      </c>
      <c r="I105" s="127">
        <v>50000</v>
      </c>
      <c r="J105" s="138"/>
      <c r="K105" s="137"/>
      <c r="L105" s="138"/>
      <c r="O105" s="163">
        <f t="shared" si="5"/>
        <v>0.19425000000000001</v>
      </c>
      <c r="P105" s="23">
        <f t="shared" si="4"/>
        <v>194.25</v>
      </c>
    </row>
    <row r="106" spans="2:16" x14ac:dyDescent="0.25">
      <c r="B106" s="12" t="s">
        <v>302</v>
      </c>
      <c r="C106" s="12" t="s">
        <v>306</v>
      </c>
      <c r="D106" s="12">
        <v>51</v>
      </c>
      <c r="E106" s="12">
        <v>75</v>
      </c>
      <c r="F106" t="s">
        <v>307</v>
      </c>
      <c r="G106" s="35">
        <v>50001</v>
      </c>
      <c r="H106" s="35">
        <v>999999</v>
      </c>
      <c r="I106" s="127">
        <v>100000</v>
      </c>
      <c r="J106" s="138"/>
      <c r="K106" s="137"/>
      <c r="L106" s="138"/>
      <c r="O106" s="163">
        <f t="shared" si="5"/>
        <v>0.1739</v>
      </c>
      <c r="P106" s="23">
        <f t="shared" si="4"/>
        <v>173.9</v>
      </c>
    </row>
    <row r="107" spans="2:16" x14ac:dyDescent="0.25">
      <c r="B107" s="12" t="s">
        <v>302</v>
      </c>
      <c r="C107" s="12" t="s">
        <v>301</v>
      </c>
      <c r="D107" s="12">
        <v>51</v>
      </c>
      <c r="E107" s="12">
        <v>75</v>
      </c>
      <c r="F107" t="s">
        <v>307</v>
      </c>
      <c r="G107" s="35">
        <v>0</v>
      </c>
      <c r="H107" s="35">
        <v>1000</v>
      </c>
      <c r="I107" s="127">
        <v>1000</v>
      </c>
      <c r="J107" s="138"/>
      <c r="K107" s="137"/>
      <c r="L107" s="138"/>
      <c r="O107" s="163">
        <f t="shared" si="5"/>
        <v>0.16095000000000001</v>
      </c>
      <c r="P107" s="23">
        <f t="shared" si="4"/>
        <v>160.95000000000002</v>
      </c>
    </row>
    <row r="108" spans="2:16" x14ac:dyDescent="0.25">
      <c r="B108" s="12" t="s">
        <v>302</v>
      </c>
      <c r="C108" s="12" t="s">
        <v>301</v>
      </c>
      <c r="D108" s="12">
        <v>51</v>
      </c>
      <c r="E108" s="12">
        <v>75</v>
      </c>
      <c r="F108" t="s">
        <v>307</v>
      </c>
      <c r="G108" s="35">
        <v>1001</v>
      </c>
      <c r="H108" s="35">
        <v>2000</v>
      </c>
      <c r="I108" s="127">
        <v>2000</v>
      </c>
      <c r="J108" s="138"/>
      <c r="K108" s="137"/>
      <c r="L108" s="138"/>
      <c r="O108" s="163">
        <f t="shared" si="5"/>
        <v>0.14799999999999999</v>
      </c>
      <c r="P108" s="23">
        <f t="shared" si="4"/>
        <v>148</v>
      </c>
    </row>
    <row r="109" spans="2:16" x14ac:dyDescent="0.25">
      <c r="B109" s="12" t="s">
        <v>302</v>
      </c>
      <c r="C109" s="12" t="s">
        <v>301</v>
      </c>
      <c r="D109" s="12">
        <v>51</v>
      </c>
      <c r="E109" s="12">
        <v>75</v>
      </c>
      <c r="F109" t="s">
        <v>307</v>
      </c>
      <c r="G109" s="35">
        <v>2001</v>
      </c>
      <c r="H109" s="35">
        <v>2500</v>
      </c>
      <c r="I109" s="127">
        <v>2500</v>
      </c>
      <c r="J109" s="138"/>
      <c r="K109" s="137"/>
      <c r="L109" s="138"/>
      <c r="O109" s="163">
        <f t="shared" si="5"/>
        <v>0.69374999999999998</v>
      </c>
      <c r="P109" s="23">
        <f t="shared" si="4"/>
        <v>693.75</v>
      </c>
    </row>
    <row r="110" spans="2:16" x14ac:dyDescent="0.25">
      <c r="B110" s="12" t="s">
        <v>302</v>
      </c>
      <c r="C110" s="12" t="s">
        <v>301</v>
      </c>
      <c r="D110" s="12">
        <v>51</v>
      </c>
      <c r="E110" s="12">
        <v>75</v>
      </c>
      <c r="F110" t="s">
        <v>307</v>
      </c>
      <c r="G110" s="35">
        <v>3001</v>
      </c>
      <c r="H110" s="35">
        <v>5000</v>
      </c>
      <c r="I110" s="127">
        <v>5000</v>
      </c>
      <c r="J110" s="138"/>
      <c r="K110" s="137"/>
      <c r="L110" s="138"/>
      <c r="O110" s="163">
        <f t="shared" si="5"/>
        <v>0.3478</v>
      </c>
      <c r="P110" s="23">
        <f t="shared" si="4"/>
        <v>347.8</v>
      </c>
    </row>
    <row r="111" spans="2:16" x14ac:dyDescent="0.25">
      <c r="B111" s="12" t="s">
        <v>302</v>
      </c>
      <c r="C111" s="12" t="s">
        <v>301</v>
      </c>
      <c r="D111" s="12">
        <v>51</v>
      </c>
      <c r="E111" s="12">
        <v>75</v>
      </c>
      <c r="F111" t="s">
        <v>307</v>
      </c>
      <c r="G111" s="35">
        <v>5001</v>
      </c>
      <c r="H111" s="35">
        <v>10000</v>
      </c>
      <c r="I111" s="127">
        <v>10000</v>
      </c>
      <c r="J111" s="138"/>
      <c r="K111" s="137"/>
      <c r="L111" s="138"/>
      <c r="O111" s="163">
        <f t="shared" si="5"/>
        <v>0.25345000000000001</v>
      </c>
      <c r="P111" s="23">
        <f t="shared" si="4"/>
        <v>253.45000000000002</v>
      </c>
    </row>
    <row r="112" spans="2:16" x14ac:dyDescent="0.25">
      <c r="B112" s="12" t="s">
        <v>302</v>
      </c>
      <c r="C112" s="12" t="s">
        <v>301</v>
      </c>
      <c r="D112" s="12">
        <v>51</v>
      </c>
      <c r="E112" s="12">
        <v>75</v>
      </c>
      <c r="F112" t="s">
        <v>307</v>
      </c>
      <c r="G112" s="35">
        <v>10001</v>
      </c>
      <c r="H112" s="35">
        <v>20000</v>
      </c>
      <c r="I112" s="127">
        <v>20000</v>
      </c>
      <c r="J112" s="138"/>
      <c r="K112" s="137"/>
      <c r="L112" s="138"/>
      <c r="O112" s="163">
        <f t="shared" si="5"/>
        <v>0.20720000000000002</v>
      </c>
      <c r="P112" s="23">
        <f t="shared" si="4"/>
        <v>207.20000000000002</v>
      </c>
    </row>
    <row r="113" spans="2:16" x14ac:dyDescent="0.25">
      <c r="B113" s="12" t="s">
        <v>302</v>
      </c>
      <c r="C113" s="12" t="s">
        <v>301</v>
      </c>
      <c r="D113" s="12">
        <v>51</v>
      </c>
      <c r="E113" s="12">
        <v>75</v>
      </c>
      <c r="F113" t="s">
        <v>307</v>
      </c>
      <c r="G113" s="35">
        <v>20001</v>
      </c>
      <c r="H113" s="35">
        <v>50000</v>
      </c>
      <c r="I113" s="127">
        <v>50000</v>
      </c>
      <c r="J113" s="138"/>
      <c r="K113" s="137"/>
      <c r="L113" s="138"/>
      <c r="O113" s="163">
        <f t="shared" si="5"/>
        <v>0.18130000000000002</v>
      </c>
      <c r="P113" s="23">
        <f t="shared" si="4"/>
        <v>181.3</v>
      </c>
    </row>
    <row r="114" spans="2:16" x14ac:dyDescent="0.25">
      <c r="B114" s="12" t="s">
        <v>302</v>
      </c>
      <c r="C114" s="12" t="s">
        <v>301</v>
      </c>
      <c r="D114" s="12">
        <v>51</v>
      </c>
      <c r="E114" s="12">
        <v>75</v>
      </c>
      <c r="F114" t="s">
        <v>307</v>
      </c>
      <c r="G114" s="35">
        <v>50001</v>
      </c>
      <c r="H114" s="35">
        <v>999999</v>
      </c>
      <c r="I114" s="127">
        <v>100000</v>
      </c>
      <c r="J114" s="138"/>
      <c r="K114" s="137"/>
      <c r="L114" s="138"/>
      <c r="O114" s="163">
        <f t="shared" si="5"/>
        <v>0.16465000000000002</v>
      </c>
      <c r="P114" s="23">
        <f t="shared" si="4"/>
        <v>164.65</v>
      </c>
    </row>
    <row r="115" spans="2:16" x14ac:dyDescent="0.25">
      <c r="B115" s="12" t="s">
        <v>302</v>
      </c>
      <c r="C115" s="12" t="s">
        <v>305</v>
      </c>
      <c r="D115" s="12">
        <v>51</v>
      </c>
      <c r="E115" s="12">
        <v>75</v>
      </c>
      <c r="F115" t="s">
        <v>307</v>
      </c>
      <c r="G115" s="35">
        <v>0</v>
      </c>
      <c r="H115" s="35">
        <v>1000</v>
      </c>
      <c r="I115" s="127">
        <v>1000</v>
      </c>
      <c r="J115" s="138"/>
      <c r="K115" s="137"/>
      <c r="L115" s="138"/>
      <c r="O115" s="163">
        <f t="shared" si="5"/>
        <v>0.14984999999999998</v>
      </c>
      <c r="P115" s="23">
        <f t="shared" si="4"/>
        <v>149.85</v>
      </c>
    </row>
    <row r="116" spans="2:16" x14ac:dyDescent="0.25">
      <c r="B116" s="12" t="s">
        <v>302</v>
      </c>
      <c r="C116" s="12" t="s">
        <v>305</v>
      </c>
      <c r="D116" s="12">
        <v>51</v>
      </c>
      <c r="E116" s="12">
        <v>75</v>
      </c>
      <c r="F116" t="s">
        <v>307</v>
      </c>
      <c r="G116" s="35">
        <v>1001</v>
      </c>
      <c r="H116" s="35">
        <v>2000</v>
      </c>
      <c r="I116" s="127">
        <v>2000</v>
      </c>
      <c r="J116" s="138"/>
      <c r="K116" s="137"/>
      <c r="L116" s="138"/>
      <c r="O116" s="163">
        <f t="shared" si="5"/>
        <v>0.1406</v>
      </c>
      <c r="P116" s="23">
        <f t="shared" si="4"/>
        <v>140.6</v>
      </c>
    </row>
    <row r="117" spans="2:16" x14ac:dyDescent="0.25">
      <c r="B117" s="12" t="s">
        <v>302</v>
      </c>
      <c r="C117" s="12" t="s">
        <v>305</v>
      </c>
      <c r="D117" s="12">
        <v>51</v>
      </c>
      <c r="E117" s="12">
        <v>75</v>
      </c>
      <c r="F117" t="s">
        <v>307</v>
      </c>
      <c r="G117" s="35">
        <v>2001</v>
      </c>
      <c r="H117" s="35">
        <v>2500</v>
      </c>
      <c r="I117" s="127">
        <v>2500</v>
      </c>
      <c r="J117" s="138"/>
      <c r="K117" s="137"/>
      <c r="L117" s="138"/>
      <c r="O117" s="163">
        <f t="shared" si="5"/>
        <v>0.69374999999999998</v>
      </c>
      <c r="P117" s="23">
        <f t="shared" si="4"/>
        <v>693.75</v>
      </c>
    </row>
    <row r="118" spans="2:16" x14ac:dyDescent="0.25">
      <c r="B118" s="12" t="s">
        <v>302</v>
      </c>
      <c r="C118" s="12" t="s">
        <v>305</v>
      </c>
      <c r="D118" s="12">
        <v>51</v>
      </c>
      <c r="E118" s="12">
        <v>75</v>
      </c>
      <c r="F118" t="s">
        <v>307</v>
      </c>
      <c r="G118" s="35">
        <v>3001</v>
      </c>
      <c r="H118" s="35">
        <v>5000</v>
      </c>
      <c r="I118" s="127">
        <v>5000</v>
      </c>
      <c r="J118" s="138"/>
      <c r="K118" s="137"/>
      <c r="L118" s="138"/>
      <c r="O118" s="163">
        <f t="shared" si="5"/>
        <v>0.3478</v>
      </c>
      <c r="P118" s="23">
        <f t="shared" si="4"/>
        <v>347.8</v>
      </c>
    </row>
    <row r="119" spans="2:16" x14ac:dyDescent="0.25">
      <c r="B119" s="12" t="s">
        <v>302</v>
      </c>
      <c r="C119" s="12" t="s">
        <v>305</v>
      </c>
      <c r="D119" s="12">
        <v>51</v>
      </c>
      <c r="E119" s="12">
        <v>75</v>
      </c>
      <c r="F119" t="s">
        <v>307</v>
      </c>
      <c r="G119" s="35">
        <v>5001</v>
      </c>
      <c r="H119" s="35">
        <v>10000</v>
      </c>
      <c r="I119" s="127">
        <v>10000</v>
      </c>
      <c r="J119" s="138"/>
      <c r="K119" s="137"/>
      <c r="L119" s="138"/>
      <c r="O119" s="163">
        <f t="shared" si="5"/>
        <v>0.25345000000000001</v>
      </c>
      <c r="P119" s="23">
        <f t="shared" si="4"/>
        <v>253.45000000000002</v>
      </c>
    </row>
    <row r="120" spans="2:16" x14ac:dyDescent="0.25">
      <c r="B120" s="12" t="s">
        <v>302</v>
      </c>
      <c r="C120" s="12" t="s">
        <v>305</v>
      </c>
      <c r="D120" s="12">
        <v>51</v>
      </c>
      <c r="E120" s="12">
        <v>75</v>
      </c>
      <c r="F120" t="s">
        <v>307</v>
      </c>
      <c r="G120" s="35">
        <v>10001</v>
      </c>
      <c r="H120" s="35">
        <v>20000</v>
      </c>
      <c r="I120" s="127">
        <v>20000</v>
      </c>
      <c r="J120" s="138"/>
      <c r="K120" s="137"/>
      <c r="L120" s="138"/>
      <c r="O120" s="163">
        <f t="shared" si="5"/>
        <v>0.20720000000000002</v>
      </c>
      <c r="P120" s="23">
        <f t="shared" si="4"/>
        <v>207.20000000000002</v>
      </c>
    </row>
    <row r="121" spans="2:16" x14ac:dyDescent="0.25">
      <c r="B121" s="12" t="s">
        <v>302</v>
      </c>
      <c r="C121" s="12" t="s">
        <v>305</v>
      </c>
      <c r="D121" s="12">
        <v>51</v>
      </c>
      <c r="E121" s="12">
        <v>75</v>
      </c>
      <c r="F121" t="s">
        <v>307</v>
      </c>
      <c r="G121" s="35">
        <v>20001</v>
      </c>
      <c r="H121" s="35">
        <v>50000</v>
      </c>
      <c r="I121" s="127">
        <v>50000</v>
      </c>
      <c r="J121" s="138"/>
      <c r="K121" s="137"/>
      <c r="L121" s="138"/>
      <c r="O121" s="163">
        <f t="shared" si="5"/>
        <v>0.18130000000000002</v>
      </c>
      <c r="P121" s="23">
        <f t="shared" si="4"/>
        <v>181.3</v>
      </c>
    </row>
    <row r="122" spans="2:16" x14ac:dyDescent="0.25">
      <c r="B122" s="12" t="s">
        <v>302</v>
      </c>
      <c r="C122" s="12" t="s">
        <v>305</v>
      </c>
      <c r="D122" s="12">
        <v>51</v>
      </c>
      <c r="E122" s="12">
        <v>75</v>
      </c>
      <c r="F122" t="s">
        <v>307</v>
      </c>
      <c r="G122" s="35">
        <v>50001</v>
      </c>
      <c r="H122" s="35">
        <v>999999</v>
      </c>
      <c r="I122" s="127">
        <v>100000</v>
      </c>
      <c r="J122" s="138"/>
      <c r="K122" s="137"/>
      <c r="L122" s="138"/>
      <c r="O122" s="163">
        <f t="shared" si="5"/>
        <v>0.16465000000000002</v>
      </c>
      <c r="P122" s="23">
        <f t="shared" si="4"/>
        <v>164.65</v>
      </c>
    </row>
    <row r="123" spans="2:16" x14ac:dyDescent="0.25">
      <c r="B123" s="12" t="s">
        <v>302</v>
      </c>
      <c r="C123" s="12" t="s">
        <v>322</v>
      </c>
      <c r="D123" s="12">
        <v>51</v>
      </c>
      <c r="E123" s="12">
        <v>75</v>
      </c>
      <c r="F123" t="s">
        <v>307</v>
      </c>
      <c r="G123" s="35">
        <v>0</v>
      </c>
      <c r="H123" s="35">
        <v>1000</v>
      </c>
      <c r="I123" s="127">
        <v>1000</v>
      </c>
      <c r="J123" s="138"/>
      <c r="K123" s="137"/>
      <c r="L123" s="138"/>
      <c r="O123" s="163">
        <f t="shared" si="5"/>
        <v>0.14984999999999998</v>
      </c>
      <c r="P123" s="23">
        <f t="shared" si="4"/>
        <v>149.85</v>
      </c>
    </row>
    <row r="124" spans="2:16" x14ac:dyDescent="0.25">
      <c r="B124" s="12" t="s">
        <v>302</v>
      </c>
      <c r="C124" s="12" t="s">
        <v>322</v>
      </c>
      <c r="D124" s="12">
        <v>51</v>
      </c>
      <c r="E124" s="12">
        <v>75</v>
      </c>
      <c r="F124" t="s">
        <v>307</v>
      </c>
      <c r="G124" s="35">
        <v>1001</v>
      </c>
      <c r="H124" s="35">
        <v>2000</v>
      </c>
      <c r="I124" s="127">
        <v>2000</v>
      </c>
      <c r="J124" s="138"/>
      <c r="K124" s="137"/>
      <c r="L124" s="138"/>
      <c r="O124" s="163">
        <f t="shared" si="5"/>
        <v>0.1406</v>
      </c>
      <c r="P124" s="23">
        <f t="shared" si="4"/>
        <v>140.6</v>
      </c>
    </row>
    <row r="125" spans="2:16" x14ac:dyDescent="0.25">
      <c r="B125" s="12" t="s">
        <v>302</v>
      </c>
      <c r="C125" s="12" t="s">
        <v>322</v>
      </c>
      <c r="D125" s="12">
        <v>51</v>
      </c>
      <c r="E125" s="12">
        <v>75</v>
      </c>
      <c r="F125" t="s">
        <v>307</v>
      </c>
      <c r="G125" s="35">
        <v>2001</v>
      </c>
      <c r="H125" s="35">
        <v>2500</v>
      </c>
      <c r="I125" s="127">
        <v>2500</v>
      </c>
      <c r="J125" s="138"/>
      <c r="K125" s="137"/>
      <c r="L125" s="138"/>
      <c r="O125" s="163">
        <f>+P125/1000</f>
        <v>0.40329999999999999</v>
      </c>
      <c r="P125" s="23">
        <f>+P3*1.85</f>
        <v>403.3</v>
      </c>
    </row>
    <row r="126" spans="2:16" x14ac:dyDescent="0.25">
      <c r="B126" s="12" t="s">
        <v>302</v>
      </c>
      <c r="C126" s="12" t="s">
        <v>322</v>
      </c>
      <c r="D126" s="12">
        <v>51</v>
      </c>
      <c r="E126" s="12">
        <v>75</v>
      </c>
      <c r="F126" t="s">
        <v>307</v>
      </c>
      <c r="G126" s="35">
        <v>3001</v>
      </c>
      <c r="H126" s="35">
        <v>5000</v>
      </c>
      <c r="I126" s="127">
        <v>5000</v>
      </c>
      <c r="J126" s="138"/>
      <c r="K126" s="137"/>
      <c r="L126" s="138"/>
      <c r="O126" s="163">
        <f t="shared" ref="O126:O141" si="6">+P126/1000</f>
        <v>0.69374999999999998</v>
      </c>
      <c r="P126" s="23">
        <f t="shared" ref="P126:P185" si="7">+P4*1.85</f>
        <v>693.75</v>
      </c>
    </row>
    <row r="127" spans="2:16" x14ac:dyDescent="0.25">
      <c r="B127" s="12" t="s">
        <v>302</v>
      </c>
      <c r="C127" s="12" t="s">
        <v>322</v>
      </c>
      <c r="D127" s="12">
        <v>51</v>
      </c>
      <c r="E127" s="12">
        <v>75</v>
      </c>
      <c r="F127" t="s">
        <v>307</v>
      </c>
      <c r="G127" s="35">
        <v>5001</v>
      </c>
      <c r="H127" s="35">
        <v>10000</v>
      </c>
      <c r="I127" s="127">
        <v>10000</v>
      </c>
      <c r="J127" s="138"/>
      <c r="K127" s="137"/>
      <c r="L127" s="138"/>
      <c r="O127" s="163">
        <f t="shared" si="6"/>
        <v>0.38850000000000001</v>
      </c>
      <c r="P127" s="23">
        <f t="shared" si="7"/>
        <v>388.5</v>
      </c>
    </row>
    <row r="128" spans="2:16" x14ac:dyDescent="0.25">
      <c r="B128" s="12" t="s">
        <v>302</v>
      </c>
      <c r="C128" s="12" t="s">
        <v>322</v>
      </c>
      <c r="D128" s="12">
        <v>51</v>
      </c>
      <c r="E128" s="12">
        <v>75</v>
      </c>
      <c r="F128" t="s">
        <v>307</v>
      </c>
      <c r="G128" s="35">
        <v>10001</v>
      </c>
      <c r="H128" s="35">
        <v>20000</v>
      </c>
      <c r="I128" s="127">
        <v>20000</v>
      </c>
      <c r="J128" s="138"/>
      <c r="K128" s="137"/>
      <c r="L128" s="138"/>
      <c r="O128" s="163">
        <f t="shared" si="6"/>
        <v>0.28860000000000002</v>
      </c>
      <c r="P128" s="23">
        <f t="shared" si="7"/>
        <v>288.60000000000002</v>
      </c>
    </row>
    <row r="129" spans="2:16" x14ac:dyDescent="0.25">
      <c r="B129" s="12" t="s">
        <v>302</v>
      </c>
      <c r="C129" s="12" t="s">
        <v>322</v>
      </c>
      <c r="D129" s="12">
        <v>51</v>
      </c>
      <c r="E129" s="12">
        <v>75</v>
      </c>
      <c r="F129" t="s">
        <v>307</v>
      </c>
      <c r="G129" s="35">
        <v>20001</v>
      </c>
      <c r="H129" s="35">
        <v>50000</v>
      </c>
      <c r="I129" s="127">
        <v>50000</v>
      </c>
      <c r="J129" s="138"/>
      <c r="K129" s="137"/>
      <c r="L129" s="138"/>
      <c r="O129" s="163">
        <f t="shared" si="6"/>
        <v>0.27010000000000001</v>
      </c>
      <c r="P129" s="23">
        <f t="shared" si="7"/>
        <v>270.10000000000002</v>
      </c>
    </row>
    <row r="130" spans="2:16" x14ac:dyDescent="0.25">
      <c r="B130" s="12" t="s">
        <v>302</v>
      </c>
      <c r="C130" s="12" t="s">
        <v>322</v>
      </c>
      <c r="D130" s="12">
        <v>51</v>
      </c>
      <c r="E130" s="12">
        <v>75</v>
      </c>
      <c r="F130" t="s">
        <v>307</v>
      </c>
      <c r="G130" s="35">
        <v>50001</v>
      </c>
      <c r="H130" s="35">
        <v>999999</v>
      </c>
      <c r="I130" s="127">
        <v>100000</v>
      </c>
      <c r="J130" s="138"/>
      <c r="K130" s="137"/>
      <c r="L130" s="138"/>
      <c r="O130" s="163">
        <f t="shared" si="6"/>
        <v>0.23495000000000002</v>
      </c>
      <c r="P130" s="23">
        <f t="shared" si="7"/>
        <v>234.95000000000002</v>
      </c>
    </row>
    <row r="131" spans="2:16" x14ac:dyDescent="0.25">
      <c r="B131" s="12" t="s">
        <v>302</v>
      </c>
      <c r="C131" s="12" t="s">
        <v>306</v>
      </c>
      <c r="D131" s="12">
        <v>76</v>
      </c>
      <c r="E131" s="127">
        <v>100</v>
      </c>
      <c r="F131" t="s">
        <v>307</v>
      </c>
      <c r="G131" s="35">
        <v>0</v>
      </c>
      <c r="H131" s="35">
        <v>1000</v>
      </c>
      <c r="I131" s="127">
        <v>1000</v>
      </c>
      <c r="J131" s="138"/>
      <c r="K131" s="137"/>
      <c r="L131" s="138"/>
      <c r="O131" s="163">
        <f t="shared" si="6"/>
        <v>0.20720000000000002</v>
      </c>
      <c r="P131" s="23">
        <f t="shared" si="7"/>
        <v>207.20000000000002</v>
      </c>
    </row>
    <row r="132" spans="2:16" x14ac:dyDescent="0.25">
      <c r="B132" s="12" t="s">
        <v>302</v>
      </c>
      <c r="C132" s="12" t="s">
        <v>306</v>
      </c>
      <c r="D132" s="12">
        <v>76</v>
      </c>
      <c r="E132" s="127">
        <v>100</v>
      </c>
      <c r="F132" t="s">
        <v>307</v>
      </c>
      <c r="G132" s="35">
        <v>1001</v>
      </c>
      <c r="H132" s="35">
        <v>2000</v>
      </c>
      <c r="I132" s="127">
        <v>2000</v>
      </c>
      <c r="J132" s="138"/>
      <c r="K132" s="137"/>
      <c r="L132" s="138"/>
      <c r="O132" s="163">
        <f t="shared" si="6"/>
        <v>0.69374999999999998</v>
      </c>
      <c r="P132" s="23">
        <f t="shared" si="7"/>
        <v>693.75</v>
      </c>
    </row>
    <row r="133" spans="2:16" x14ac:dyDescent="0.25">
      <c r="B133" s="12" t="s">
        <v>302</v>
      </c>
      <c r="C133" s="12" t="s">
        <v>306</v>
      </c>
      <c r="D133" s="12">
        <v>76</v>
      </c>
      <c r="E133" s="127">
        <v>100</v>
      </c>
      <c r="F133" t="s">
        <v>307</v>
      </c>
      <c r="G133" s="35">
        <v>2001</v>
      </c>
      <c r="H133" s="35">
        <v>2500</v>
      </c>
      <c r="I133" s="127">
        <v>2500</v>
      </c>
      <c r="J133" s="138"/>
      <c r="K133" s="137"/>
      <c r="L133" s="138"/>
      <c r="O133" s="163">
        <f t="shared" si="6"/>
        <v>0.38295000000000007</v>
      </c>
      <c r="P133" s="23">
        <f t="shared" si="7"/>
        <v>382.95000000000005</v>
      </c>
    </row>
    <row r="134" spans="2:16" x14ac:dyDescent="0.25">
      <c r="B134" s="12" t="s">
        <v>302</v>
      </c>
      <c r="C134" s="12" t="s">
        <v>306</v>
      </c>
      <c r="D134" s="12">
        <v>76</v>
      </c>
      <c r="E134" s="127">
        <v>100</v>
      </c>
      <c r="F134" t="s">
        <v>307</v>
      </c>
      <c r="G134" s="35">
        <v>3001</v>
      </c>
      <c r="H134" s="35">
        <v>5000</v>
      </c>
      <c r="I134" s="127">
        <v>5000</v>
      </c>
      <c r="J134" s="138"/>
      <c r="K134" s="137"/>
      <c r="L134" s="138"/>
      <c r="O134" s="163">
        <f t="shared" si="6"/>
        <v>0.28305000000000002</v>
      </c>
      <c r="P134" s="23">
        <f t="shared" si="7"/>
        <v>283.05</v>
      </c>
    </row>
    <row r="135" spans="2:16" x14ac:dyDescent="0.25">
      <c r="B135" s="12" t="s">
        <v>302</v>
      </c>
      <c r="C135" s="12" t="s">
        <v>306</v>
      </c>
      <c r="D135" s="12">
        <v>76</v>
      </c>
      <c r="E135" s="127">
        <v>100</v>
      </c>
      <c r="F135" t="s">
        <v>307</v>
      </c>
      <c r="G135" s="35">
        <v>5001</v>
      </c>
      <c r="H135" s="35">
        <v>10000</v>
      </c>
      <c r="I135" s="127">
        <v>10000</v>
      </c>
      <c r="J135" s="138"/>
      <c r="K135" s="137"/>
      <c r="L135" s="138"/>
      <c r="O135" s="163">
        <f t="shared" si="6"/>
        <v>0.24420000000000003</v>
      </c>
      <c r="P135" s="23">
        <f t="shared" si="7"/>
        <v>244.20000000000002</v>
      </c>
    </row>
    <row r="136" spans="2:16" x14ac:dyDescent="0.25">
      <c r="B136" s="12" t="s">
        <v>302</v>
      </c>
      <c r="C136" s="12" t="s">
        <v>306</v>
      </c>
      <c r="D136" s="12">
        <v>76</v>
      </c>
      <c r="E136" s="127">
        <v>100</v>
      </c>
      <c r="F136" t="s">
        <v>307</v>
      </c>
      <c r="G136" s="35">
        <v>10001</v>
      </c>
      <c r="H136" s="35">
        <v>20000</v>
      </c>
      <c r="I136" s="127">
        <v>20000</v>
      </c>
      <c r="J136" s="138"/>
      <c r="K136" s="137"/>
      <c r="L136" s="138"/>
      <c r="O136" s="163">
        <f t="shared" si="6"/>
        <v>0.21645</v>
      </c>
      <c r="P136" s="23">
        <f t="shared" si="7"/>
        <v>216.45000000000002</v>
      </c>
    </row>
    <row r="137" spans="2:16" x14ac:dyDescent="0.25">
      <c r="B137" s="12" t="s">
        <v>302</v>
      </c>
      <c r="C137" s="12" t="s">
        <v>306</v>
      </c>
      <c r="D137" s="12">
        <v>76</v>
      </c>
      <c r="E137" s="127">
        <v>100</v>
      </c>
      <c r="F137" t="s">
        <v>307</v>
      </c>
      <c r="G137" s="35">
        <v>20001</v>
      </c>
      <c r="H137" s="35">
        <v>50000</v>
      </c>
      <c r="I137" s="127">
        <v>50000</v>
      </c>
      <c r="J137" s="138"/>
      <c r="K137" s="137"/>
      <c r="L137" s="138"/>
      <c r="O137" s="163">
        <f t="shared" si="6"/>
        <v>0.19795000000000001</v>
      </c>
      <c r="P137" s="23">
        <f t="shared" si="7"/>
        <v>197.95000000000002</v>
      </c>
    </row>
    <row r="138" spans="2:16" x14ac:dyDescent="0.25">
      <c r="B138" s="12" t="s">
        <v>302</v>
      </c>
      <c r="C138" s="12" t="s">
        <v>306</v>
      </c>
      <c r="D138" s="12">
        <v>76</v>
      </c>
      <c r="E138" s="127">
        <v>100</v>
      </c>
      <c r="F138" t="s">
        <v>307</v>
      </c>
      <c r="G138" s="35">
        <v>50001</v>
      </c>
      <c r="H138" s="35">
        <v>999999</v>
      </c>
      <c r="I138" s="127">
        <v>100000</v>
      </c>
      <c r="J138" s="138"/>
      <c r="K138" s="137"/>
      <c r="L138" s="138"/>
      <c r="O138" s="163">
        <f t="shared" si="6"/>
        <v>0.17760000000000004</v>
      </c>
      <c r="P138" s="23">
        <f t="shared" si="7"/>
        <v>177.60000000000002</v>
      </c>
    </row>
    <row r="139" spans="2:16" x14ac:dyDescent="0.25">
      <c r="B139" s="12" t="s">
        <v>302</v>
      </c>
      <c r="C139" s="12" t="s">
        <v>301</v>
      </c>
      <c r="D139" s="12">
        <v>76</v>
      </c>
      <c r="E139" s="127">
        <v>100</v>
      </c>
      <c r="F139" t="s">
        <v>307</v>
      </c>
      <c r="G139" s="35">
        <v>0</v>
      </c>
      <c r="H139" s="35">
        <v>1000</v>
      </c>
      <c r="I139" s="127">
        <v>1000</v>
      </c>
      <c r="J139" s="138"/>
      <c r="K139" s="137"/>
      <c r="L139" s="138"/>
      <c r="O139" s="163">
        <f t="shared" si="6"/>
        <v>0.16465000000000002</v>
      </c>
      <c r="P139" s="23">
        <f t="shared" si="7"/>
        <v>164.65</v>
      </c>
    </row>
    <row r="140" spans="2:16" x14ac:dyDescent="0.25">
      <c r="B140" s="12" t="s">
        <v>302</v>
      </c>
      <c r="C140" s="12" t="s">
        <v>301</v>
      </c>
      <c r="D140" s="12">
        <v>76</v>
      </c>
      <c r="E140" s="127">
        <v>100</v>
      </c>
      <c r="F140" t="s">
        <v>307</v>
      </c>
      <c r="G140" s="35">
        <v>1001</v>
      </c>
      <c r="H140" s="35">
        <v>2000</v>
      </c>
      <c r="I140" s="127">
        <v>2000</v>
      </c>
      <c r="J140" s="138"/>
      <c r="K140" s="137"/>
      <c r="L140" s="138"/>
      <c r="O140" s="163">
        <f t="shared" si="6"/>
        <v>0.69374999999999998</v>
      </c>
      <c r="P140" s="23">
        <f t="shared" si="7"/>
        <v>693.75</v>
      </c>
    </row>
    <row r="141" spans="2:16" x14ac:dyDescent="0.25">
      <c r="B141" s="12" t="s">
        <v>302</v>
      </c>
      <c r="C141" s="12" t="s">
        <v>301</v>
      </c>
      <c r="D141" s="12">
        <v>76</v>
      </c>
      <c r="E141" s="127">
        <v>100</v>
      </c>
      <c r="F141" t="s">
        <v>307</v>
      </c>
      <c r="G141" s="35">
        <v>2001</v>
      </c>
      <c r="H141" s="35">
        <v>2500</v>
      </c>
      <c r="I141" s="127">
        <v>2500</v>
      </c>
      <c r="J141" s="138"/>
      <c r="K141" s="137"/>
      <c r="L141" s="138"/>
      <c r="O141" s="163">
        <f t="shared" si="6"/>
        <v>0.37740000000000001</v>
      </c>
      <c r="P141" s="23">
        <f t="shared" si="7"/>
        <v>377.40000000000003</v>
      </c>
    </row>
    <row r="142" spans="2:16" x14ac:dyDescent="0.25">
      <c r="B142" s="12" t="s">
        <v>302</v>
      </c>
      <c r="C142" s="12" t="s">
        <v>301</v>
      </c>
      <c r="D142" s="12">
        <v>76</v>
      </c>
      <c r="E142" s="127">
        <v>100</v>
      </c>
      <c r="F142" t="s">
        <v>307</v>
      </c>
      <c r="G142" s="35">
        <v>3001</v>
      </c>
      <c r="H142" s="35">
        <v>5000</v>
      </c>
      <c r="I142" s="127">
        <v>5000</v>
      </c>
      <c r="J142" s="138"/>
      <c r="K142" s="137"/>
      <c r="L142" s="138"/>
      <c r="O142" s="163">
        <f t="shared" ref="O142:O157" si="8">+P142/1000</f>
        <v>0.27565000000000006</v>
      </c>
      <c r="P142" s="23">
        <f t="shared" si="7"/>
        <v>275.65000000000003</v>
      </c>
    </row>
    <row r="143" spans="2:16" x14ac:dyDescent="0.25">
      <c r="B143" s="12" t="s">
        <v>302</v>
      </c>
      <c r="C143" s="12" t="s">
        <v>301</v>
      </c>
      <c r="D143" s="12">
        <v>76</v>
      </c>
      <c r="E143" s="127">
        <v>100</v>
      </c>
      <c r="F143" t="s">
        <v>307</v>
      </c>
      <c r="G143" s="35">
        <v>5001</v>
      </c>
      <c r="H143" s="35">
        <v>10000</v>
      </c>
      <c r="I143" s="127">
        <v>10000</v>
      </c>
      <c r="J143" s="138"/>
      <c r="K143" s="137"/>
      <c r="L143" s="138"/>
      <c r="O143" s="163">
        <f t="shared" si="8"/>
        <v>0.23495000000000002</v>
      </c>
      <c r="P143" s="23">
        <f t="shared" si="7"/>
        <v>234.95000000000002</v>
      </c>
    </row>
    <row r="144" spans="2:16" x14ac:dyDescent="0.25">
      <c r="B144" s="12" t="s">
        <v>302</v>
      </c>
      <c r="C144" s="12" t="s">
        <v>301</v>
      </c>
      <c r="D144" s="12">
        <v>76</v>
      </c>
      <c r="E144" s="127">
        <v>100</v>
      </c>
      <c r="F144" t="s">
        <v>307</v>
      </c>
      <c r="G144" s="35">
        <v>10001</v>
      </c>
      <c r="H144" s="35">
        <v>20000</v>
      </c>
      <c r="I144" s="127">
        <v>20000</v>
      </c>
      <c r="J144" s="138"/>
      <c r="K144" s="137"/>
      <c r="L144" s="138"/>
      <c r="O144" s="163">
        <f t="shared" si="8"/>
        <v>0.21274999999999999</v>
      </c>
      <c r="P144" s="23">
        <f t="shared" si="7"/>
        <v>212.75</v>
      </c>
    </row>
    <row r="145" spans="2:16" x14ac:dyDescent="0.25">
      <c r="B145" s="12" t="s">
        <v>302</v>
      </c>
      <c r="C145" s="12" t="s">
        <v>301</v>
      </c>
      <c r="D145" s="12">
        <v>76</v>
      </c>
      <c r="E145" s="127">
        <v>100</v>
      </c>
      <c r="F145" t="s">
        <v>307</v>
      </c>
      <c r="G145" s="35">
        <v>20001</v>
      </c>
      <c r="H145" s="35">
        <v>50000</v>
      </c>
      <c r="I145" s="127">
        <v>50000</v>
      </c>
      <c r="J145" s="138"/>
      <c r="K145" s="137"/>
      <c r="L145" s="138"/>
      <c r="O145" s="163">
        <f t="shared" si="8"/>
        <v>0.18870000000000001</v>
      </c>
      <c r="P145" s="23">
        <f t="shared" si="7"/>
        <v>188.70000000000002</v>
      </c>
    </row>
    <row r="146" spans="2:16" x14ac:dyDescent="0.25">
      <c r="B146" s="12" t="s">
        <v>302</v>
      </c>
      <c r="C146" s="12" t="s">
        <v>301</v>
      </c>
      <c r="D146" s="12">
        <v>76</v>
      </c>
      <c r="E146" s="127">
        <v>100</v>
      </c>
      <c r="F146" t="s">
        <v>307</v>
      </c>
      <c r="G146" s="35">
        <v>50001</v>
      </c>
      <c r="H146" s="35">
        <v>999999</v>
      </c>
      <c r="I146" s="127">
        <v>100000</v>
      </c>
      <c r="J146" s="138"/>
      <c r="K146" s="137"/>
      <c r="L146" s="138"/>
      <c r="O146" s="163">
        <f t="shared" si="8"/>
        <v>0.69374999999999998</v>
      </c>
      <c r="P146" s="23">
        <f t="shared" si="7"/>
        <v>693.75</v>
      </c>
    </row>
    <row r="147" spans="2:16" x14ac:dyDescent="0.25">
      <c r="B147" s="12" t="s">
        <v>302</v>
      </c>
      <c r="C147" s="12" t="s">
        <v>305</v>
      </c>
      <c r="D147" s="12">
        <v>76</v>
      </c>
      <c r="E147" s="127">
        <v>100</v>
      </c>
      <c r="F147" t="s">
        <v>307</v>
      </c>
      <c r="G147" s="35">
        <v>0</v>
      </c>
      <c r="H147" s="35">
        <v>1000</v>
      </c>
      <c r="I147" s="127">
        <v>1000</v>
      </c>
      <c r="J147" s="138"/>
      <c r="K147" s="137"/>
      <c r="L147" s="138"/>
      <c r="O147" s="163">
        <f t="shared" si="8"/>
        <v>0.36815000000000003</v>
      </c>
      <c r="P147" s="23">
        <f t="shared" si="7"/>
        <v>368.15000000000003</v>
      </c>
    </row>
    <row r="148" spans="2:16" x14ac:dyDescent="0.25">
      <c r="B148" s="12" t="s">
        <v>302</v>
      </c>
      <c r="C148" s="12" t="s">
        <v>305</v>
      </c>
      <c r="D148" s="12">
        <v>76</v>
      </c>
      <c r="E148" s="127">
        <v>100</v>
      </c>
      <c r="F148" t="s">
        <v>307</v>
      </c>
      <c r="G148" s="35">
        <v>1001</v>
      </c>
      <c r="H148" s="35">
        <v>2000</v>
      </c>
      <c r="I148" s="127">
        <v>2000</v>
      </c>
      <c r="J148" s="138"/>
      <c r="K148" s="137"/>
      <c r="L148" s="138"/>
      <c r="O148" s="163">
        <f t="shared" si="8"/>
        <v>0.26824999999999999</v>
      </c>
      <c r="P148" s="23">
        <f t="shared" si="7"/>
        <v>268.25</v>
      </c>
    </row>
    <row r="149" spans="2:16" x14ac:dyDescent="0.25">
      <c r="B149" s="12" t="s">
        <v>302</v>
      </c>
      <c r="C149" s="12" t="s">
        <v>305</v>
      </c>
      <c r="D149" s="12">
        <v>76</v>
      </c>
      <c r="E149" s="127">
        <v>100</v>
      </c>
      <c r="F149" t="s">
        <v>307</v>
      </c>
      <c r="G149" s="35">
        <v>2001</v>
      </c>
      <c r="H149" s="35">
        <v>2500</v>
      </c>
      <c r="I149" s="127">
        <v>2500</v>
      </c>
      <c r="J149" s="138"/>
      <c r="K149" s="137"/>
      <c r="L149" s="138"/>
      <c r="O149" s="163">
        <f t="shared" si="8"/>
        <v>0.222</v>
      </c>
      <c r="P149" s="23">
        <f t="shared" si="7"/>
        <v>222</v>
      </c>
    </row>
    <row r="150" spans="2:16" x14ac:dyDescent="0.25">
      <c r="B150" s="12" t="s">
        <v>302</v>
      </c>
      <c r="C150" s="12" t="s">
        <v>305</v>
      </c>
      <c r="D150" s="12">
        <v>76</v>
      </c>
      <c r="E150" s="127">
        <v>100</v>
      </c>
      <c r="F150" t="s">
        <v>307</v>
      </c>
      <c r="G150" s="35">
        <v>3001</v>
      </c>
      <c r="H150" s="35">
        <v>5000</v>
      </c>
      <c r="I150" s="127">
        <v>5000</v>
      </c>
      <c r="J150" s="138"/>
      <c r="K150" s="137"/>
      <c r="L150" s="138"/>
      <c r="O150" s="163">
        <f t="shared" si="8"/>
        <v>0.20535000000000003</v>
      </c>
      <c r="P150" s="23">
        <f t="shared" si="7"/>
        <v>205.35000000000002</v>
      </c>
    </row>
    <row r="151" spans="2:16" x14ac:dyDescent="0.25">
      <c r="B151" s="12" t="s">
        <v>302</v>
      </c>
      <c r="C151" s="12" t="s">
        <v>305</v>
      </c>
      <c r="D151" s="12">
        <v>76</v>
      </c>
      <c r="E151" s="127">
        <v>100</v>
      </c>
      <c r="F151" t="s">
        <v>307</v>
      </c>
      <c r="G151" s="35">
        <v>5001</v>
      </c>
      <c r="H151" s="35">
        <v>10000</v>
      </c>
      <c r="I151" s="127">
        <v>10000</v>
      </c>
      <c r="J151" s="138"/>
      <c r="K151" s="137"/>
      <c r="L151" s="138"/>
      <c r="O151" s="163">
        <f t="shared" si="8"/>
        <v>0.18130000000000002</v>
      </c>
      <c r="P151" s="23">
        <f t="shared" si="7"/>
        <v>181.3</v>
      </c>
    </row>
    <row r="152" spans="2:16" x14ac:dyDescent="0.25">
      <c r="B152" s="12" t="s">
        <v>302</v>
      </c>
      <c r="C152" s="12" t="s">
        <v>305</v>
      </c>
      <c r="D152" s="12">
        <v>76</v>
      </c>
      <c r="E152" s="127">
        <v>100</v>
      </c>
      <c r="F152" t="s">
        <v>307</v>
      </c>
      <c r="G152" s="35">
        <v>10001</v>
      </c>
      <c r="H152" s="35">
        <v>20000</v>
      </c>
      <c r="I152" s="127">
        <v>20000</v>
      </c>
      <c r="J152" s="138"/>
      <c r="K152" s="137"/>
      <c r="L152" s="138"/>
      <c r="O152" s="163">
        <f t="shared" si="8"/>
        <v>0.16835</v>
      </c>
      <c r="P152" s="23">
        <f t="shared" si="7"/>
        <v>168.35</v>
      </c>
    </row>
    <row r="153" spans="2:16" x14ac:dyDescent="0.25">
      <c r="B153" s="12" t="s">
        <v>302</v>
      </c>
      <c r="C153" s="12" t="s">
        <v>305</v>
      </c>
      <c r="D153" s="12">
        <v>76</v>
      </c>
      <c r="E153" s="127">
        <v>100</v>
      </c>
      <c r="F153" t="s">
        <v>307</v>
      </c>
      <c r="G153" s="35">
        <v>20001</v>
      </c>
      <c r="H153" s="35">
        <v>50000</v>
      </c>
      <c r="I153" s="127">
        <v>50000</v>
      </c>
      <c r="J153" s="138"/>
      <c r="K153" s="137"/>
      <c r="L153" s="138"/>
      <c r="O153" s="163">
        <f t="shared" si="8"/>
        <v>0.15540000000000001</v>
      </c>
      <c r="P153" s="23">
        <f t="shared" si="7"/>
        <v>155.4</v>
      </c>
    </row>
    <row r="154" spans="2:16" x14ac:dyDescent="0.25">
      <c r="B154" s="12" t="s">
        <v>302</v>
      </c>
      <c r="C154" s="12" t="s">
        <v>305</v>
      </c>
      <c r="D154" s="12">
        <v>76</v>
      </c>
      <c r="E154" s="127">
        <v>100</v>
      </c>
      <c r="F154" t="s">
        <v>307</v>
      </c>
      <c r="G154" s="35">
        <v>50001</v>
      </c>
      <c r="H154" s="35">
        <v>999999</v>
      </c>
      <c r="I154" s="127">
        <v>100000</v>
      </c>
      <c r="J154" s="138"/>
      <c r="K154" s="137"/>
      <c r="L154" s="138"/>
      <c r="O154" s="163">
        <f t="shared" si="8"/>
        <v>0.69374999999999998</v>
      </c>
      <c r="P154" s="23">
        <f t="shared" si="7"/>
        <v>693.75</v>
      </c>
    </row>
    <row r="155" spans="2:16" x14ac:dyDescent="0.25">
      <c r="B155" s="12" t="s">
        <v>302</v>
      </c>
      <c r="C155" s="12" t="s">
        <v>322</v>
      </c>
      <c r="D155" s="12">
        <v>76</v>
      </c>
      <c r="E155" s="127">
        <v>100</v>
      </c>
      <c r="F155" t="s">
        <v>307</v>
      </c>
      <c r="G155" s="35">
        <v>0</v>
      </c>
      <c r="H155" s="35">
        <v>1000</v>
      </c>
      <c r="I155" s="127">
        <v>1000</v>
      </c>
      <c r="J155" s="138"/>
      <c r="K155" s="137"/>
      <c r="L155" s="138"/>
      <c r="O155" s="163">
        <f t="shared" si="8"/>
        <v>0.35705000000000003</v>
      </c>
      <c r="P155" s="23">
        <f t="shared" si="7"/>
        <v>357.05</v>
      </c>
    </row>
    <row r="156" spans="2:16" x14ac:dyDescent="0.25">
      <c r="B156" s="12" t="s">
        <v>302</v>
      </c>
      <c r="C156" s="12" t="s">
        <v>322</v>
      </c>
      <c r="D156" s="12">
        <v>76</v>
      </c>
      <c r="E156" s="127">
        <v>100</v>
      </c>
      <c r="F156" t="s">
        <v>307</v>
      </c>
      <c r="G156" s="35">
        <v>1001</v>
      </c>
      <c r="H156" s="35">
        <v>2000</v>
      </c>
      <c r="I156" s="127">
        <v>2000</v>
      </c>
      <c r="J156" s="138"/>
      <c r="K156" s="137"/>
      <c r="L156" s="138"/>
      <c r="O156" s="163">
        <f t="shared" si="8"/>
        <v>0.25900000000000001</v>
      </c>
      <c r="P156" s="23">
        <f t="shared" si="7"/>
        <v>259</v>
      </c>
    </row>
    <row r="157" spans="2:16" x14ac:dyDescent="0.25">
      <c r="B157" s="12" t="s">
        <v>302</v>
      </c>
      <c r="C157" s="12" t="s">
        <v>322</v>
      </c>
      <c r="D157" s="12">
        <v>76</v>
      </c>
      <c r="E157" s="127">
        <v>100</v>
      </c>
      <c r="F157" t="s">
        <v>307</v>
      </c>
      <c r="G157" s="35">
        <v>2001</v>
      </c>
      <c r="H157" s="35">
        <v>2500</v>
      </c>
      <c r="I157" s="127">
        <v>2500</v>
      </c>
      <c r="J157" s="138"/>
      <c r="K157" s="137"/>
      <c r="L157" s="138"/>
      <c r="O157" s="163">
        <f t="shared" si="8"/>
        <v>0.21460000000000001</v>
      </c>
      <c r="P157" s="23">
        <f t="shared" si="7"/>
        <v>214.60000000000002</v>
      </c>
    </row>
    <row r="158" spans="2:16" x14ac:dyDescent="0.25">
      <c r="B158" s="12" t="s">
        <v>302</v>
      </c>
      <c r="C158" s="12" t="s">
        <v>322</v>
      </c>
      <c r="D158" s="12">
        <v>76</v>
      </c>
      <c r="E158" s="127">
        <v>100</v>
      </c>
      <c r="F158" t="s">
        <v>307</v>
      </c>
      <c r="G158" s="35">
        <v>3001</v>
      </c>
      <c r="H158" s="35">
        <v>5000</v>
      </c>
      <c r="I158" s="127">
        <v>5000</v>
      </c>
      <c r="J158" s="138"/>
      <c r="K158" s="137"/>
      <c r="L158" s="138"/>
      <c r="O158" s="163">
        <f t="shared" ref="O158:O173" si="9">+P158/1000</f>
        <v>0.19425000000000001</v>
      </c>
      <c r="P158" s="23">
        <f t="shared" si="7"/>
        <v>194.25</v>
      </c>
    </row>
    <row r="159" spans="2:16" x14ac:dyDescent="0.25">
      <c r="B159" s="12" t="s">
        <v>302</v>
      </c>
      <c r="C159" s="12" t="s">
        <v>322</v>
      </c>
      <c r="D159" s="12">
        <v>76</v>
      </c>
      <c r="E159" s="127">
        <v>100</v>
      </c>
      <c r="F159" t="s">
        <v>307</v>
      </c>
      <c r="G159" s="35">
        <v>5001</v>
      </c>
      <c r="H159" s="35">
        <v>10000</v>
      </c>
      <c r="I159" s="127">
        <v>10000</v>
      </c>
      <c r="J159" s="138"/>
      <c r="K159" s="137"/>
      <c r="L159" s="138"/>
      <c r="O159" s="163">
        <f t="shared" si="9"/>
        <v>0.1739</v>
      </c>
      <c r="P159" s="23">
        <f t="shared" si="7"/>
        <v>173.9</v>
      </c>
    </row>
    <row r="160" spans="2:16" x14ac:dyDescent="0.25">
      <c r="B160" s="12" t="s">
        <v>302</v>
      </c>
      <c r="C160" s="12" t="s">
        <v>322</v>
      </c>
      <c r="D160" s="12">
        <v>76</v>
      </c>
      <c r="E160" s="127">
        <v>100</v>
      </c>
      <c r="F160" t="s">
        <v>307</v>
      </c>
      <c r="G160" s="35">
        <v>10001</v>
      </c>
      <c r="H160" s="35">
        <v>20000</v>
      </c>
      <c r="I160" s="127">
        <v>20000</v>
      </c>
      <c r="J160" s="138"/>
      <c r="K160" s="137"/>
      <c r="L160" s="138"/>
      <c r="O160" s="163">
        <f t="shared" si="9"/>
        <v>0.16095000000000001</v>
      </c>
      <c r="P160" s="23">
        <f t="shared" si="7"/>
        <v>160.95000000000002</v>
      </c>
    </row>
    <row r="161" spans="2:16" x14ac:dyDescent="0.25">
      <c r="B161" s="12" t="s">
        <v>302</v>
      </c>
      <c r="C161" s="12" t="s">
        <v>322</v>
      </c>
      <c r="D161" s="12">
        <v>76</v>
      </c>
      <c r="E161" s="127">
        <v>100</v>
      </c>
      <c r="F161" t="s">
        <v>307</v>
      </c>
      <c r="G161" s="35">
        <v>20001</v>
      </c>
      <c r="H161" s="35">
        <v>50000</v>
      </c>
      <c r="I161" s="127">
        <v>50000</v>
      </c>
      <c r="J161" s="138"/>
      <c r="K161" s="137"/>
      <c r="L161" s="138"/>
      <c r="O161" s="163">
        <f t="shared" si="9"/>
        <v>0.14799999999999999</v>
      </c>
      <c r="P161" s="23">
        <f t="shared" si="7"/>
        <v>148</v>
      </c>
    </row>
    <row r="162" spans="2:16" x14ac:dyDescent="0.25">
      <c r="B162" s="12" t="s">
        <v>302</v>
      </c>
      <c r="C162" s="12" t="s">
        <v>322</v>
      </c>
      <c r="D162" s="12">
        <v>76</v>
      </c>
      <c r="E162" s="127">
        <v>100</v>
      </c>
      <c r="F162" t="s">
        <v>307</v>
      </c>
      <c r="G162" s="35">
        <v>50001</v>
      </c>
      <c r="H162" s="35">
        <v>999999</v>
      </c>
      <c r="I162" s="127">
        <v>100000</v>
      </c>
      <c r="J162" s="138"/>
      <c r="K162" s="137"/>
      <c r="L162" s="138"/>
      <c r="O162" s="163">
        <f t="shared" si="9"/>
        <v>0.69374999999999998</v>
      </c>
      <c r="P162" s="23">
        <f t="shared" si="7"/>
        <v>693.75</v>
      </c>
    </row>
    <row r="163" spans="2:16" x14ac:dyDescent="0.25">
      <c r="B163" s="12" t="s">
        <v>302</v>
      </c>
      <c r="C163" s="12" t="s">
        <v>306</v>
      </c>
      <c r="D163" s="12">
        <v>101</v>
      </c>
      <c r="E163" s="127">
        <v>125</v>
      </c>
      <c r="F163" t="s">
        <v>307</v>
      </c>
      <c r="G163" s="35">
        <v>0</v>
      </c>
      <c r="H163" s="35">
        <v>1000</v>
      </c>
      <c r="I163" s="127">
        <v>1000</v>
      </c>
      <c r="J163" s="138"/>
      <c r="K163" s="137"/>
      <c r="L163" s="138"/>
      <c r="O163" s="163">
        <f t="shared" si="9"/>
        <v>0.35705000000000003</v>
      </c>
      <c r="P163" s="23">
        <f t="shared" si="7"/>
        <v>357.05</v>
      </c>
    </row>
    <row r="164" spans="2:16" x14ac:dyDescent="0.25">
      <c r="B164" s="12" t="s">
        <v>302</v>
      </c>
      <c r="C164" s="12" t="s">
        <v>306</v>
      </c>
      <c r="D164" s="12">
        <v>101</v>
      </c>
      <c r="E164" s="127">
        <v>125</v>
      </c>
      <c r="F164" t="s">
        <v>307</v>
      </c>
      <c r="G164" s="35">
        <v>1001</v>
      </c>
      <c r="H164" s="35">
        <v>2000</v>
      </c>
      <c r="I164" s="127">
        <v>2000</v>
      </c>
      <c r="J164" s="138"/>
      <c r="K164" s="137"/>
      <c r="L164" s="138"/>
      <c r="O164" s="163">
        <f t="shared" si="9"/>
        <v>0.25900000000000001</v>
      </c>
      <c r="P164" s="23">
        <f t="shared" si="7"/>
        <v>259</v>
      </c>
    </row>
    <row r="165" spans="2:16" x14ac:dyDescent="0.25">
      <c r="B165" s="12" t="s">
        <v>302</v>
      </c>
      <c r="C165" s="12" t="s">
        <v>306</v>
      </c>
      <c r="D165" s="12">
        <v>101</v>
      </c>
      <c r="E165" s="127">
        <v>125</v>
      </c>
      <c r="F165" t="s">
        <v>307</v>
      </c>
      <c r="G165" s="35">
        <v>2001</v>
      </c>
      <c r="H165" s="35">
        <v>2500</v>
      </c>
      <c r="I165" s="127">
        <v>2500</v>
      </c>
      <c r="J165" s="138"/>
      <c r="K165" s="137"/>
      <c r="L165" s="138"/>
      <c r="O165" s="163">
        <f t="shared" si="9"/>
        <v>0.21460000000000001</v>
      </c>
      <c r="P165" s="23">
        <f t="shared" si="7"/>
        <v>214.60000000000002</v>
      </c>
    </row>
    <row r="166" spans="2:16" x14ac:dyDescent="0.25">
      <c r="B166" s="12" t="s">
        <v>302</v>
      </c>
      <c r="C166" s="12" t="s">
        <v>306</v>
      </c>
      <c r="D166" s="12">
        <v>101</v>
      </c>
      <c r="E166" s="127">
        <v>125</v>
      </c>
      <c r="F166" t="s">
        <v>307</v>
      </c>
      <c r="G166" s="35">
        <v>3001</v>
      </c>
      <c r="H166" s="35">
        <v>5000</v>
      </c>
      <c r="I166" s="127">
        <v>5000</v>
      </c>
      <c r="J166" s="138"/>
      <c r="K166" s="137"/>
      <c r="L166" s="138"/>
      <c r="O166" s="163">
        <f t="shared" si="9"/>
        <v>0.19425000000000001</v>
      </c>
      <c r="P166" s="23">
        <f t="shared" si="7"/>
        <v>194.25</v>
      </c>
    </row>
    <row r="167" spans="2:16" x14ac:dyDescent="0.25">
      <c r="B167" s="12" t="s">
        <v>302</v>
      </c>
      <c r="C167" s="12" t="s">
        <v>306</v>
      </c>
      <c r="D167" s="12">
        <v>101</v>
      </c>
      <c r="E167" s="127">
        <v>125</v>
      </c>
      <c r="F167" t="s">
        <v>307</v>
      </c>
      <c r="G167" s="35">
        <v>5001</v>
      </c>
      <c r="H167" s="35">
        <v>10000</v>
      </c>
      <c r="I167" s="127">
        <v>10000</v>
      </c>
      <c r="J167" s="138"/>
      <c r="K167" s="137"/>
      <c r="L167" s="138"/>
      <c r="O167" s="163">
        <f t="shared" si="9"/>
        <v>0.1739</v>
      </c>
      <c r="P167" s="23">
        <f t="shared" si="7"/>
        <v>173.9</v>
      </c>
    </row>
    <row r="168" spans="2:16" x14ac:dyDescent="0.25">
      <c r="B168" s="12" t="s">
        <v>302</v>
      </c>
      <c r="C168" s="12" t="s">
        <v>306</v>
      </c>
      <c r="D168" s="12">
        <v>101</v>
      </c>
      <c r="E168" s="127">
        <v>125</v>
      </c>
      <c r="F168" t="s">
        <v>307</v>
      </c>
      <c r="G168" s="35">
        <v>10001</v>
      </c>
      <c r="H168" s="35">
        <v>20000</v>
      </c>
      <c r="I168" s="127">
        <v>20000</v>
      </c>
      <c r="J168" s="138"/>
      <c r="K168" s="137"/>
      <c r="L168" s="138"/>
      <c r="O168" s="163">
        <f t="shared" si="9"/>
        <v>0.16095000000000001</v>
      </c>
      <c r="P168" s="23">
        <f t="shared" si="7"/>
        <v>160.95000000000002</v>
      </c>
    </row>
    <row r="169" spans="2:16" x14ac:dyDescent="0.25">
      <c r="B169" s="12" t="s">
        <v>302</v>
      </c>
      <c r="C169" s="12" t="s">
        <v>301</v>
      </c>
      <c r="D169" s="12">
        <v>101</v>
      </c>
      <c r="E169" s="127">
        <v>125</v>
      </c>
      <c r="F169" t="s">
        <v>307</v>
      </c>
      <c r="G169" s="35">
        <v>0</v>
      </c>
      <c r="H169" s="35">
        <v>1000</v>
      </c>
      <c r="I169" s="127">
        <v>1000</v>
      </c>
      <c r="J169" s="138"/>
      <c r="K169" s="137"/>
      <c r="L169" s="138"/>
      <c r="O169" s="163">
        <f t="shared" si="9"/>
        <v>0.14799999999999999</v>
      </c>
      <c r="P169" s="23">
        <f t="shared" si="7"/>
        <v>148</v>
      </c>
    </row>
    <row r="170" spans="2:16" x14ac:dyDescent="0.25">
      <c r="B170" s="12" t="s">
        <v>302</v>
      </c>
      <c r="C170" s="12" t="s">
        <v>301</v>
      </c>
      <c r="D170" s="12">
        <v>101</v>
      </c>
      <c r="E170" s="127">
        <v>125</v>
      </c>
      <c r="F170" t="s">
        <v>307</v>
      </c>
      <c r="G170" s="35">
        <v>1001</v>
      </c>
      <c r="H170" s="35">
        <v>2000</v>
      </c>
      <c r="I170" s="127">
        <v>2000</v>
      </c>
      <c r="J170" s="138"/>
      <c r="K170" s="137"/>
      <c r="L170" s="138"/>
      <c r="O170" s="163">
        <f t="shared" si="9"/>
        <v>0.69374999999999998</v>
      </c>
      <c r="P170" s="23">
        <f t="shared" si="7"/>
        <v>693.75</v>
      </c>
    </row>
    <row r="171" spans="2:16" x14ac:dyDescent="0.25">
      <c r="B171" s="12" t="s">
        <v>302</v>
      </c>
      <c r="C171" s="12" t="s">
        <v>301</v>
      </c>
      <c r="D171" s="12">
        <v>101</v>
      </c>
      <c r="E171" s="127">
        <v>125</v>
      </c>
      <c r="F171" t="s">
        <v>307</v>
      </c>
      <c r="G171" s="35">
        <v>2001</v>
      </c>
      <c r="H171" s="35">
        <v>2500</v>
      </c>
      <c r="I171" s="127">
        <v>2500</v>
      </c>
      <c r="J171" s="138"/>
      <c r="K171" s="137"/>
      <c r="L171" s="138"/>
      <c r="O171" s="163">
        <f t="shared" si="9"/>
        <v>0.3478</v>
      </c>
      <c r="P171" s="23">
        <f t="shared" si="7"/>
        <v>347.8</v>
      </c>
    </row>
    <row r="172" spans="2:16" x14ac:dyDescent="0.25">
      <c r="B172" s="12" t="s">
        <v>302</v>
      </c>
      <c r="C172" s="12" t="s">
        <v>301</v>
      </c>
      <c r="D172" s="12">
        <v>101</v>
      </c>
      <c r="E172" s="127">
        <v>125</v>
      </c>
      <c r="F172" t="s">
        <v>307</v>
      </c>
      <c r="G172" s="35">
        <v>3001</v>
      </c>
      <c r="H172" s="35">
        <v>5000</v>
      </c>
      <c r="I172" s="127">
        <v>5000</v>
      </c>
      <c r="J172" s="138"/>
      <c r="K172" s="137"/>
      <c r="L172" s="138"/>
      <c r="O172" s="163">
        <f t="shared" si="9"/>
        <v>0.25345000000000001</v>
      </c>
      <c r="P172" s="23">
        <f t="shared" si="7"/>
        <v>253.45000000000002</v>
      </c>
    </row>
    <row r="173" spans="2:16" x14ac:dyDescent="0.25">
      <c r="B173" s="12" t="s">
        <v>302</v>
      </c>
      <c r="C173" s="12" t="s">
        <v>301</v>
      </c>
      <c r="D173" s="12">
        <v>101</v>
      </c>
      <c r="E173" s="127">
        <v>125</v>
      </c>
      <c r="F173" t="s">
        <v>307</v>
      </c>
      <c r="G173" s="35">
        <v>5001</v>
      </c>
      <c r="H173" s="35">
        <v>10000</v>
      </c>
      <c r="I173" s="127">
        <v>10000</v>
      </c>
      <c r="J173" s="138"/>
      <c r="K173" s="137"/>
      <c r="L173" s="138"/>
      <c r="O173" s="163">
        <f t="shared" si="9"/>
        <v>0.20720000000000002</v>
      </c>
      <c r="P173" s="23">
        <f t="shared" si="7"/>
        <v>207.20000000000002</v>
      </c>
    </row>
    <row r="174" spans="2:16" x14ac:dyDescent="0.25">
      <c r="B174" s="12" t="s">
        <v>302</v>
      </c>
      <c r="C174" s="12" t="s">
        <v>301</v>
      </c>
      <c r="D174" s="12">
        <v>101</v>
      </c>
      <c r="E174" s="127">
        <v>125</v>
      </c>
      <c r="F174" t="s">
        <v>307</v>
      </c>
      <c r="G174" s="35">
        <v>10001</v>
      </c>
      <c r="H174" s="35">
        <v>20000</v>
      </c>
      <c r="I174" s="127">
        <v>20000</v>
      </c>
      <c r="J174" s="138"/>
      <c r="K174" s="137"/>
      <c r="L174" s="138"/>
      <c r="O174" s="163">
        <f t="shared" ref="O174:O237" si="10">+P174/1000</f>
        <v>0.18130000000000002</v>
      </c>
      <c r="P174" s="23">
        <f t="shared" si="7"/>
        <v>181.3</v>
      </c>
    </row>
    <row r="175" spans="2:16" x14ac:dyDescent="0.25">
      <c r="B175" s="12" t="s">
        <v>302</v>
      </c>
      <c r="C175" s="12" t="s">
        <v>305</v>
      </c>
      <c r="D175" s="12">
        <v>101</v>
      </c>
      <c r="E175" s="127">
        <v>125</v>
      </c>
      <c r="F175" t="s">
        <v>307</v>
      </c>
      <c r="G175" s="35">
        <v>0</v>
      </c>
      <c r="H175" s="35">
        <v>1000</v>
      </c>
      <c r="I175" s="127">
        <v>1000</v>
      </c>
      <c r="J175" s="138"/>
      <c r="K175" s="137"/>
      <c r="L175" s="138"/>
      <c r="O175" s="163">
        <f t="shared" si="10"/>
        <v>0.16465000000000002</v>
      </c>
      <c r="P175" s="23">
        <f t="shared" si="7"/>
        <v>164.65</v>
      </c>
    </row>
    <row r="176" spans="2:16" x14ac:dyDescent="0.25">
      <c r="B176" s="12" t="s">
        <v>302</v>
      </c>
      <c r="C176" s="12" t="s">
        <v>305</v>
      </c>
      <c r="D176" s="12">
        <v>101</v>
      </c>
      <c r="E176" s="127">
        <v>125</v>
      </c>
      <c r="F176" t="s">
        <v>307</v>
      </c>
      <c r="G176" s="35">
        <v>1001</v>
      </c>
      <c r="H176" s="35">
        <v>2000</v>
      </c>
      <c r="I176" s="127">
        <v>2000</v>
      </c>
      <c r="J176" s="138"/>
      <c r="K176" s="137"/>
      <c r="L176" s="138"/>
      <c r="O176" s="163">
        <f t="shared" si="10"/>
        <v>0.14984999999999998</v>
      </c>
      <c r="P176" s="23">
        <f t="shared" si="7"/>
        <v>149.85</v>
      </c>
    </row>
    <row r="177" spans="2:17" x14ac:dyDescent="0.25">
      <c r="B177" s="12" t="s">
        <v>302</v>
      </c>
      <c r="C177" s="12" t="s">
        <v>305</v>
      </c>
      <c r="D177" s="12">
        <v>101</v>
      </c>
      <c r="E177" s="127">
        <v>125</v>
      </c>
      <c r="F177" t="s">
        <v>307</v>
      </c>
      <c r="G177" s="35">
        <v>2001</v>
      </c>
      <c r="H177" s="35">
        <v>2500</v>
      </c>
      <c r="I177" s="127">
        <v>2500</v>
      </c>
      <c r="J177" s="138"/>
      <c r="K177" s="137"/>
      <c r="L177" s="138"/>
      <c r="O177" s="163">
        <f t="shared" si="10"/>
        <v>0.1406</v>
      </c>
      <c r="P177" s="23">
        <f t="shared" si="7"/>
        <v>140.6</v>
      </c>
    </row>
    <row r="178" spans="2:17" x14ac:dyDescent="0.25">
      <c r="B178" s="12" t="s">
        <v>302</v>
      </c>
      <c r="C178" s="12" t="s">
        <v>305</v>
      </c>
      <c r="D178" s="12">
        <v>101</v>
      </c>
      <c r="E178" s="127">
        <v>125</v>
      </c>
      <c r="F178" t="s">
        <v>307</v>
      </c>
      <c r="G178" s="35">
        <v>3001</v>
      </c>
      <c r="H178" s="35">
        <v>5000</v>
      </c>
      <c r="I178" s="127">
        <v>5000</v>
      </c>
      <c r="J178" s="138"/>
      <c r="K178" s="137"/>
      <c r="L178" s="138"/>
      <c r="O178" s="163">
        <f t="shared" si="10"/>
        <v>0.69374999999999998</v>
      </c>
      <c r="P178" s="23">
        <f t="shared" si="7"/>
        <v>693.75</v>
      </c>
    </row>
    <row r="179" spans="2:17" x14ac:dyDescent="0.25">
      <c r="B179" s="12" t="s">
        <v>302</v>
      </c>
      <c r="C179" s="12" t="s">
        <v>305</v>
      </c>
      <c r="D179" s="12">
        <v>101</v>
      </c>
      <c r="E179" s="127">
        <v>125</v>
      </c>
      <c r="F179" t="s">
        <v>307</v>
      </c>
      <c r="G179" s="35">
        <v>5001</v>
      </c>
      <c r="H179" s="35">
        <v>10000</v>
      </c>
      <c r="I179" s="127">
        <v>10000</v>
      </c>
      <c r="J179" s="138"/>
      <c r="K179" s="137"/>
      <c r="L179" s="138"/>
      <c r="O179" s="163">
        <f t="shared" si="10"/>
        <v>0.3478</v>
      </c>
      <c r="P179" s="23">
        <f t="shared" si="7"/>
        <v>347.8</v>
      </c>
    </row>
    <row r="180" spans="2:17" x14ac:dyDescent="0.25">
      <c r="B180" s="12" t="s">
        <v>302</v>
      </c>
      <c r="C180" s="12" t="s">
        <v>305</v>
      </c>
      <c r="D180" s="12">
        <v>101</v>
      </c>
      <c r="E180" s="127">
        <v>125</v>
      </c>
      <c r="F180" t="s">
        <v>307</v>
      </c>
      <c r="G180" s="35">
        <v>10001</v>
      </c>
      <c r="H180" s="35">
        <v>20000</v>
      </c>
      <c r="I180" s="127">
        <v>20000</v>
      </c>
      <c r="J180" s="138"/>
      <c r="K180" s="137"/>
      <c r="L180" s="138"/>
      <c r="O180" s="163">
        <f t="shared" si="10"/>
        <v>0.25345000000000001</v>
      </c>
      <c r="P180" s="23">
        <f t="shared" si="7"/>
        <v>253.45000000000002</v>
      </c>
    </row>
    <row r="181" spans="2:17" x14ac:dyDescent="0.25">
      <c r="B181" s="12" t="s">
        <v>302</v>
      </c>
      <c r="C181" s="12" t="s">
        <v>322</v>
      </c>
      <c r="D181" s="12">
        <v>101</v>
      </c>
      <c r="E181" s="127">
        <v>125</v>
      </c>
      <c r="F181" t="s">
        <v>307</v>
      </c>
      <c r="G181" s="35">
        <v>0</v>
      </c>
      <c r="H181" s="35">
        <v>1000</v>
      </c>
      <c r="I181" s="127">
        <v>1000</v>
      </c>
      <c r="J181" s="138"/>
      <c r="K181" s="137"/>
      <c r="L181" s="138"/>
      <c r="O181" s="163">
        <f t="shared" si="10"/>
        <v>0.20720000000000002</v>
      </c>
      <c r="P181" s="23">
        <f t="shared" si="7"/>
        <v>207.20000000000002</v>
      </c>
    </row>
    <row r="182" spans="2:17" x14ac:dyDescent="0.25">
      <c r="B182" s="12" t="s">
        <v>302</v>
      </c>
      <c r="C182" s="12" t="s">
        <v>322</v>
      </c>
      <c r="D182" s="12">
        <v>101</v>
      </c>
      <c r="E182" s="127">
        <v>125</v>
      </c>
      <c r="F182" t="s">
        <v>307</v>
      </c>
      <c r="G182" s="35">
        <v>1001</v>
      </c>
      <c r="H182" s="35">
        <v>2000</v>
      </c>
      <c r="I182" s="127">
        <v>2000</v>
      </c>
      <c r="J182" s="138"/>
      <c r="K182" s="137"/>
      <c r="L182" s="138"/>
      <c r="O182" s="163">
        <f t="shared" si="10"/>
        <v>0.18130000000000002</v>
      </c>
      <c r="P182" s="23">
        <f t="shared" si="7"/>
        <v>181.3</v>
      </c>
    </row>
    <row r="183" spans="2:17" x14ac:dyDescent="0.25">
      <c r="B183" s="12" t="s">
        <v>302</v>
      </c>
      <c r="C183" s="12" t="s">
        <v>322</v>
      </c>
      <c r="D183" s="12">
        <v>101</v>
      </c>
      <c r="E183" s="127">
        <v>125</v>
      </c>
      <c r="F183" t="s">
        <v>307</v>
      </c>
      <c r="G183" s="35">
        <v>2001</v>
      </c>
      <c r="H183" s="35">
        <v>2500</v>
      </c>
      <c r="I183" s="127">
        <v>2500</v>
      </c>
      <c r="J183" s="138"/>
      <c r="K183" s="137"/>
      <c r="L183" s="138"/>
      <c r="O183" s="163">
        <f t="shared" si="10"/>
        <v>0.16465000000000002</v>
      </c>
      <c r="P183" s="23">
        <f t="shared" si="7"/>
        <v>164.65</v>
      </c>
    </row>
    <row r="184" spans="2:17" x14ac:dyDescent="0.25">
      <c r="B184" s="12" t="s">
        <v>302</v>
      </c>
      <c r="C184" s="12" t="s">
        <v>322</v>
      </c>
      <c r="D184" s="12">
        <v>101</v>
      </c>
      <c r="E184" s="127">
        <v>125</v>
      </c>
      <c r="F184" t="s">
        <v>307</v>
      </c>
      <c r="G184" s="35">
        <v>3001</v>
      </c>
      <c r="H184" s="35">
        <v>5000</v>
      </c>
      <c r="I184" s="127">
        <v>5000</v>
      </c>
      <c r="J184" s="138"/>
      <c r="K184" s="137"/>
      <c r="L184" s="138"/>
      <c r="O184" s="163">
        <f t="shared" si="10"/>
        <v>0.14984999999999998</v>
      </c>
      <c r="P184" s="23">
        <f t="shared" si="7"/>
        <v>149.85</v>
      </c>
    </row>
    <row r="185" spans="2:17" x14ac:dyDescent="0.25">
      <c r="B185" s="12" t="s">
        <v>302</v>
      </c>
      <c r="C185" s="12" t="s">
        <v>322</v>
      </c>
      <c r="D185" s="12">
        <v>101</v>
      </c>
      <c r="E185" s="127">
        <v>125</v>
      </c>
      <c r="F185" t="s">
        <v>307</v>
      </c>
      <c r="G185" s="35">
        <v>5001</v>
      </c>
      <c r="H185" s="35">
        <v>10000</v>
      </c>
      <c r="I185" s="127">
        <v>10000</v>
      </c>
      <c r="J185" s="138"/>
      <c r="K185" s="137"/>
      <c r="L185" s="138"/>
      <c r="O185" s="163">
        <f t="shared" si="10"/>
        <v>0.1406</v>
      </c>
      <c r="P185" s="23">
        <f t="shared" si="7"/>
        <v>140.6</v>
      </c>
    </row>
    <row r="186" spans="2:17" x14ac:dyDescent="0.25">
      <c r="B186" s="12" t="s">
        <v>302</v>
      </c>
      <c r="C186" s="12" t="s">
        <v>322</v>
      </c>
      <c r="D186" s="12">
        <v>101</v>
      </c>
      <c r="E186" s="127">
        <v>125</v>
      </c>
      <c r="F186" t="s">
        <v>307</v>
      </c>
      <c r="G186" s="35">
        <v>10001</v>
      </c>
      <c r="H186" s="35">
        <v>20000</v>
      </c>
      <c r="I186" s="127">
        <v>20000</v>
      </c>
      <c r="J186" s="138"/>
      <c r="K186" s="137"/>
      <c r="L186" s="138"/>
      <c r="O186" s="163">
        <f t="shared" si="10"/>
        <v>0.30519999999999997</v>
      </c>
      <c r="P186" s="23">
        <f>+P3*1.4</f>
        <v>305.2</v>
      </c>
      <c r="Q186" s="23">
        <f>+Q3*1.4</f>
        <v>0</v>
      </c>
    </row>
    <row r="187" spans="2:17" x14ac:dyDescent="0.25">
      <c r="B187" s="12" t="s">
        <v>302</v>
      </c>
      <c r="C187" s="12" t="s">
        <v>306</v>
      </c>
      <c r="D187" s="12">
        <v>126</v>
      </c>
      <c r="E187" s="127">
        <v>150</v>
      </c>
      <c r="F187" t="s">
        <v>307</v>
      </c>
      <c r="G187" s="35">
        <v>0</v>
      </c>
      <c r="H187" s="35">
        <v>1000</v>
      </c>
      <c r="I187" s="127">
        <v>1000</v>
      </c>
      <c r="J187" s="138"/>
      <c r="K187" s="137"/>
      <c r="L187" s="138"/>
      <c r="O187" s="163">
        <f t="shared" si="10"/>
        <v>0.52500000000000002</v>
      </c>
      <c r="P187" s="23">
        <f t="shared" ref="P187:P246" si="11">+P4*1.4</f>
        <v>525</v>
      </c>
    </row>
    <row r="188" spans="2:17" x14ac:dyDescent="0.25">
      <c r="B188" s="12" t="s">
        <v>302</v>
      </c>
      <c r="C188" s="12" t="s">
        <v>306</v>
      </c>
      <c r="D188" s="12">
        <v>126</v>
      </c>
      <c r="E188" s="127">
        <v>150</v>
      </c>
      <c r="F188" t="s">
        <v>307</v>
      </c>
      <c r="G188" s="35">
        <v>1001</v>
      </c>
      <c r="H188" s="35">
        <v>2000</v>
      </c>
      <c r="I188" s="127">
        <v>2000</v>
      </c>
      <c r="J188" s="138"/>
      <c r="K188" s="137"/>
      <c r="L188" s="138"/>
      <c r="O188" s="163">
        <f t="shared" si="10"/>
        <v>0.29399999999999998</v>
      </c>
      <c r="P188" s="23">
        <f t="shared" si="11"/>
        <v>294</v>
      </c>
    </row>
    <row r="189" spans="2:17" x14ac:dyDescent="0.25">
      <c r="B189" s="12" t="s">
        <v>302</v>
      </c>
      <c r="C189" s="12" t="s">
        <v>306</v>
      </c>
      <c r="D189" s="12">
        <v>126</v>
      </c>
      <c r="E189" s="127">
        <v>150</v>
      </c>
      <c r="F189" t="s">
        <v>307</v>
      </c>
      <c r="G189" s="35">
        <v>2001</v>
      </c>
      <c r="H189" s="35">
        <v>2500</v>
      </c>
      <c r="I189" s="127">
        <v>2500</v>
      </c>
      <c r="J189" s="138"/>
      <c r="K189" s="137"/>
      <c r="L189" s="138"/>
      <c r="O189" s="163">
        <f t="shared" si="10"/>
        <v>0.21839999999999998</v>
      </c>
      <c r="P189" s="23">
        <f t="shared" si="11"/>
        <v>218.39999999999998</v>
      </c>
    </row>
    <row r="190" spans="2:17" x14ac:dyDescent="0.25">
      <c r="B190" s="12" t="s">
        <v>302</v>
      </c>
      <c r="C190" s="12" t="s">
        <v>306</v>
      </c>
      <c r="D190" s="12">
        <v>126</v>
      </c>
      <c r="E190" s="127">
        <v>150</v>
      </c>
      <c r="F190" t="s">
        <v>307</v>
      </c>
      <c r="G190" s="35">
        <v>3001</v>
      </c>
      <c r="H190" s="35">
        <v>5000</v>
      </c>
      <c r="I190" s="127">
        <v>5000</v>
      </c>
      <c r="J190" s="138"/>
      <c r="K190" s="137"/>
      <c r="L190" s="138"/>
      <c r="O190" s="163">
        <f t="shared" si="10"/>
        <v>0.20439999999999997</v>
      </c>
      <c r="P190" s="23">
        <f t="shared" si="11"/>
        <v>204.39999999999998</v>
      </c>
    </row>
    <row r="191" spans="2:17" x14ac:dyDescent="0.25">
      <c r="B191" s="12" t="s">
        <v>302</v>
      </c>
      <c r="C191" s="12" t="s">
        <v>306</v>
      </c>
      <c r="D191" s="12">
        <v>126</v>
      </c>
      <c r="E191" s="127">
        <v>150</v>
      </c>
      <c r="F191" t="s">
        <v>307</v>
      </c>
      <c r="G191" s="35">
        <v>5001</v>
      </c>
      <c r="H191" s="35">
        <v>10000</v>
      </c>
      <c r="I191" s="127">
        <v>10000</v>
      </c>
      <c r="J191" s="138"/>
      <c r="K191" s="137"/>
      <c r="L191" s="138"/>
      <c r="O191" s="163">
        <f t="shared" si="10"/>
        <v>0.17779999999999999</v>
      </c>
      <c r="P191" s="23">
        <f t="shared" si="11"/>
        <v>177.79999999999998</v>
      </c>
    </row>
    <row r="192" spans="2:17" x14ac:dyDescent="0.25">
      <c r="B192" s="12" t="s">
        <v>302</v>
      </c>
      <c r="C192" s="12" t="s">
        <v>306</v>
      </c>
      <c r="D192" s="12">
        <v>126</v>
      </c>
      <c r="E192" s="127">
        <v>150</v>
      </c>
      <c r="F192" t="s">
        <v>307</v>
      </c>
      <c r="G192" s="35">
        <v>10001</v>
      </c>
      <c r="H192" s="35">
        <v>20000</v>
      </c>
      <c r="I192" s="127">
        <v>20000</v>
      </c>
      <c r="J192" s="138"/>
      <c r="K192" s="137"/>
      <c r="L192" s="138"/>
      <c r="O192" s="163">
        <f t="shared" si="10"/>
        <v>0.15679999999999999</v>
      </c>
      <c r="P192" s="23">
        <f t="shared" si="11"/>
        <v>156.79999999999998</v>
      </c>
    </row>
    <row r="193" spans="2:16" x14ac:dyDescent="0.25">
      <c r="B193" s="12" t="s">
        <v>302</v>
      </c>
      <c r="C193" s="12" t="s">
        <v>306</v>
      </c>
      <c r="D193" s="12">
        <v>126</v>
      </c>
      <c r="E193" s="127">
        <v>150</v>
      </c>
      <c r="F193" t="s">
        <v>307</v>
      </c>
      <c r="G193" s="35">
        <v>20001</v>
      </c>
      <c r="H193" s="35">
        <v>50000</v>
      </c>
      <c r="I193" s="127">
        <v>50000</v>
      </c>
      <c r="J193" s="138"/>
      <c r="K193" s="137"/>
      <c r="L193" s="138"/>
      <c r="O193" s="163">
        <f t="shared" si="10"/>
        <v>0.52500000000000002</v>
      </c>
      <c r="P193" s="23">
        <f t="shared" si="11"/>
        <v>525</v>
      </c>
    </row>
    <row r="194" spans="2:16" x14ac:dyDescent="0.25">
      <c r="B194" s="12" t="s">
        <v>302</v>
      </c>
      <c r="C194" s="12" t="s">
        <v>306</v>
      </c>
      <c r="D194" s="12">
        <v>126</v>
      </c>
      <c r="E194" s="127">
        <v>150</v>
      </c>
      <c r="F194" t="s">
        <v>307</v>
      </c>
      <c r="G194" s="35">
        <v>50001</v>
      </c>
      <c r="H194" s="35">
        <v>999999</v>
      </c>
      <c r="I194" s="127">
        <v>100000</v>
      </c>
      <c r="J194" s="138"/>
      <c r="K194" s="137"/>
      <c r="L194" s="138"/>
      <c r="O194" s="163">
        <f t="shared" si="10"/>
        <v>0.28979999999999995</v>
      </c>
      <c r="P194" s="23">
        <f t="shared" si="11"/>
        <v>289.79999999999995</v>
      </c>
    </row>
    <row r="195" spans="2:16" x14ac:dyDescent="0.25">
      <c r="B195" s="12" t="s">
        <v>302</v>
      </c>
      <c r="C195" s="12" t="s">
        <v>301</v>
      </c>
      <c r="D195" s="12">
        <v>126</v>
      </c>
      <c r="E195" s="127">
        <v>150</v>
      </c>
      <c r="F195" t="s">
        <v>307</v>
      </c>
      <c r="G195" s="35">
        <v>0</v>
      </c>
      <c r="H195" s="35">
        <v>1000</v>
      </c>
      <c r="I195" s="127">
        <v>1000</v>
      </c>
      <c r="J195" s="138"/>
      <c r="K195" s="137"/>
      <c r="L195" s="138"/>
      <c r="O195" s="163">
        <f t="shared" si="10"/>
        <v>0.2142</v>
      </c>
      <c r="P195" s="23">
        <f t="shared" si="11"/>
        <v>214.2</v>
      </c>
    </row>
    <row r="196" spans="2:16" x14ac:dyDescent="0.25">
      <c r="B196" s="12" t="s">
        <v>302</v>
      </c>
      <c r="C196" s="12" t="s">
        <v>301</v>
      </c>
      <c r="D196" s="12">
        <v>126</v>
      </c>
      <c r="E196" s="127">
        <v>150</v>
      </c>
      <c r="F196" t="s">
        <v>307</v>
      </c>
      <c r="G196" s="35">
        <v>1001</v>
      </c>
      <c r="H196" s="35">
        <v>2000</v>
      </c>
      <c r="I196" s="127">
        <v>2000</v>
      </c>
      <c r="J196" s="138"/>
      <c r="K196" s="137"/>
      <c r="L196" s="138"/>
      <c r="O196" s="163">
        <f t="shared" si="10"/>
        <v>0.18479999999999999</v>
      </c>
      <c r="P196" s="23">
        <f t="shared" si="11"/>
        <v>184.79999999999998</v>
      </c>
    </row>
    <row r="197" spans="2:16" x14ac:dyDescent="0.25">
      <c r="B197" s="12" t="s">
        <v>302</v>
      </c>
      <c r="C197" s="12" t="s">
        <v>301</v>
      </c>
      <c r="D197" s="12">
        <v>126</v>
      </c>
      <c r="E197" s="127">
        <v>150</v>
      </c>
      <c r="F197" t="s">
        <v>307</v>
      </c>
      <c r="G197" s="35">
        <v>2001</v>
      </c>
      <c r="H197" s="35">
        <v>2500</v>
      </c>
      <c r="I197" s="127">
        <v>2500</v>
      </c>
      <c r="J197" s="138"/>
      <c r="K197" s="137"/>
      <c r="L197" s="138"/>
      <c r="O197" s="163">
        <f t="shared" si="10"/>
        <v>0.16379999999999997</v>
      </c>
      <c r="P197" s="23">
        <f t="shared" si="11"/>
        <v>163.79999999999998</v>
      </c>
    </row>
    <row r="198" spans="2:16" x14ac:dyDescent="0.25">
      <c r="B198" s="12" t="s">
        <v>302</v>
      </c>
      <c r="C198" s="12" t="s">
        <v>301</v>
      </c>
      <c r="D198" s="12">
        <v>126</v>
      </c>
      <c r="E198" s="127">
        <v>150</v>
      </c>
      <c r="F198" t="s">
        <v>307</v>
      </c>
      <c r="G198" s="35">
        <v>3001</v>
      </c>
      <c r="H198" s="35">
        <v>5000</v>
      </c>
      <c r="I198" s="127">
        <v>5000</v>
      </c>
      <c r="J198" s="138"/>
      <c r="K198" s="137"/>
      <c r="L198" s="138"/>
      <c r="O198" s="163">
        <f t="shared" si="10"/>
        <v>0.14979999999999999</v>
      </c>
      <c r="P198" s="23">
        <f t="shared" si="11"/>
        <v>149.79999999999998</v>
      </c>
    </row>
    <row r="199" spans="2:16" x14ac:dyDescent="0.25">
      <c r="B199" s="12" t="s">
        <v>302</v>
      </c>
      <c r="C199" s="12" t="s">
        <v>301</v>
      </c>
      <c r="D199" s="12">
        <v>126</v>
      </c>
      <c r="E199" s="127">
        <v>150</v>
      </c>
      <c r="F199" t="s">
        <v>307</v>
      </c>
      <c r="G199" s="35">
        <v>5001</v>
      </c>
      <c r="H199" s="35">
        <v>10000</v>
      </c>
      <c r="I199" s="127">
        <v>10000</v>
      </c>
      <c r="J199" s="138"/>
      <c r="K199" s="137"/>
      <c r="L199" s="138"/>
      <c r="O199" s="163">
        <f t="shared" si="10"/>
        <v>0.13439999999999996</v>
      </c>
      <c r="P199" s="23">
        <f t="shared" si="11"/>
        <v>134.39999999999998</v>
      </c>
    </row>
    <row r="200" spans="2:16" x14ac:dyDescent="0.25">
      <c r="B200" s="12" t="s">
        <v>302</v>
      </c>
      <c r="C200" s="12" t="s">
        <v>301</v>
      </c>
      <c r="D200" s="12">
        <v>126</v>
      </c>
      <c r="E200" s="127">
        <v>150</v>
      </c>
      <c r="F200" t="s">
        <v>307</v>
      </c>
      <c r="G200" s="35">
        <v>10001</v>
      </c>
      <c r="H200" s="35">
        <v>20000</v>
      </c>
      <c r="I200" s="127">
        <v>20000</v>
      </c>
      <c r="J200" s="138"/>
      <c r="K200" s="137"/>
      <c r="L200" s="138"/>
      <c r="O200" s="163">
        <f t="shared" si="10"/>
        <v>0.12459999999999999</v>
      </c>
      <c r="P200" s="23">
        <f t="shared" si="11"/>
        <v>124.6</v>
      </c>
    </row>
    <row r="201" spans="2:16" x14ac:dyDescent="0.25">
      <c r="B201" s="12" t="s">
        <v>302</v>
      </c>
      <c r="C201" s="12" t="s">
        <v>301</v>
      </c>
      <c r="D201" s="12">
        <v>126</v>
      </c>
      <c r="E201" s="127">
        <v>150</v>
      </c>
      <c r="F201" t="s">
        <v>307</v>
      </c>
      <c r="G201" s="35">
        <v>20001</v>
      </c>
      <c r="H201" s="35">
        <v>50000</v>
      </c>
      <c r="I201" s="127">
        <v>50000</v>
      </c>
      <c r="J201" s="138"/>
      <c r="K201" s="137"/>
      <c r="L201" s="138"/>
      <c r="O201" s="163">
        <f t="shared" si="10"/>
        <v>0.52500000000000002</v>
      </c>
      <c r="P201" s="23">
        <f t="shared" si="11"/>
        <v>525</v>
      </c>
    </row>
    <row r="202" spans="2:16" x14ac:dyDescent="0.25">
      <c r="B202" s="12" t="s">
        <v>302</v>
      </c>
      <c r="C202" s="12" t="s">
        <v>301</v>
      </c>
      <c r="D202" s="12">
        <v>126</v>
      </c>
      <c r="E202" s="127">
        <v>150</v>
      </c>
      <c r="F202" t="s">
        <v>307</v>
      </c>
      <c r="G202" s="35">
        <v>50001</v>
      </c>
      <c r="H202" s="35">
        <v>999999</v>
      </c>
      <c r="I202" s="127">
        <v>100000</v>
      </c>
      <c r="J202" s="138"/>
      <c r="K202" s="137"/>
      <c r="L202" s="138"/>
      <c r="O202" s="163">
        <f t="shared" si="10"/>
        <v>0.28559999999999997</v>
      </c>
      <c r="P202" s="23">
        <f t="shared" si="11"/>
        <v>285.59999999999997</v>
      </c>
    </row>
    <row r="203" spans="2:16" x14ac:dyDescent="0.25">
      <c r="B203" s="12" t="s">
        <v>302</v>
      </c>
      <c r="C203" s="12" t="s">
        <v>305</v>
      </c>
      <c r="D203" s="12">
        <v>126</v>
      </c>
      <c r="E203" s="127">
        <v>150</v>
      </c>
      <c r="F203" t="s">
        <v>307</v>
      </c>
      <c r="G203" s="35">
        <v>0</v>
      </c>
      <c r="H203" s="35">
        <v>1000</v>
      </c>
      <c r="I203" s="127">
        <v>1000</v>
      </c>
      <c r="J203" s="138"/>
      <c r="K203" s="137"/>
      <c r="L203" s="138"/>
      <c r="O203" s="163">
        <f t="shared" si="10"/>
        <v>0.20860000000000001</v>
      </c>
      <c r="P203" s="23">
        <f t="shared" si="11"/>
        <v>208.6</v>
      </c>
    </row>
    <row r="204" spans="2:16" x14ac:dyDescent="0.25">
      <c r="B204" s="12" t="s">
        <v>302</v>
      </c>
      <c r="C204" s="12" t="s">
        <v>305</v>
      </c>
      <c r="D204" s="12">
        <v>126</v>
      </c>
      <c r="E204" s="127">
        <v>150</v>
      </c>
      <c r="F204" t="s">
        <v>307</v>
      </c>
      <c r="G204" s="35">
        <v>1001</v>
      </c>
      <c r="H204" s="35">
        <v>2000</v>
      </c>
      <c r="I204" s="127">
        <v>2000</v>
      </c>
      <c r="J204" s="138"/>
      <c r="K204" s="137"/>
      <c r="L204" s="138"/>
      <c r="O204" s="163">
        <f t="shared" si="10"/>
        <v>0.17779999999999999</v>
      </c>
      <c r="P204" s="23">
        <f t="shared" si="11"/>
        <v>177.79999999999998</v>
      </c>
    </row>
    <row r="205" spans="2:16" x14ac:dyDescent="0.25">
      <c r="B205" s="12" t="s">
        <v>302</v>
      </c>
      <c r="C205" s="12" t="s">
        <v>305</v>
      </c>
      <c r="D205" s="12">
        <v>126</v>
      </c>
      <c r="E205" s="127">
        <v>150</v>
      </c>
      <c r="F205" t="s">
        <v>307</v>
      </c>
      <c r="G205" s="35">
        <v>2001</v>
      </c>
      <c r="H205" s="35">
        <v>2500</v>
      </c>
      <c r="I205" s="127">
        <v>2500</v>
      </c>
      <c r="J205" s="138"/>
      <c r="K205" s="137"/>
      <c r="L205" s="138"/>
      <c r="O205" s="163">
        <f t="shared" si="10"/>
        <v>0.161</v>
      </c>
      <c r="P205" s="23">
        <f t="shared" si="11"/>
        <v>161</v>
      </c>
    </row>
    <row r="206" spans="2:16" x14ac:dyDescent="0.25">
      <c r="B206" s="12" t="s">
        <v>302</v>
      </c>
      <c r="C206" s="12" t="s">
        <v>305</v>
      </c>
      <c r="D206" s="12">
        <v>126</v>
      </c>
      <c r="E206" s="127">
        <v>150</v>
      </c>
      <c r="F206" t="s">
        <v>307</v>
      </c>
      <c r="G206" s="35">
        <v>3001</v>
      </c>
      <c r="H206" s="35">
        <v>5000</v>
      </c>
      <c r="I206" s="127">
        <v>5000</v>
      </c>
      <c r="J206" s="138"/>
      <c r="K206" s="137"/>
      <c r="L206" s="138"/>
      <c r="O206" s="163">
        <f t="shared" si="10"/>
        <v>0.14279999999999998</v>
      </c>
      <c r="P206" s="23">
        <f t="shared" si="11"/>
        <v>142.79999999999998</v>
      </c>
    </row>
    <row r="207" spans="2:16" x14ac:dyDescent="0.25">
      <c r="B207" s="12" t="s">
        <v>302</v>
      </c>
      <c r="C207" s="12" t="s">
        <v>305</v>
      </c>
      <c r="D207" s="12">
        <v>126</v>
      </c>
      <c r="E207" s="127">
        <v>150</v>
      </c>
      <c r="F207" t="s">
        <v>307</v>
      </c>
      <c r="G207" s="35">
        <v>5001</v>
      </c>
      <c r="H207" s="35">
        <v>10000</v>
      </c>
      <c r="I207" s="127">
        <v>10000</v>
      </c>
      <c r="J207" s="138"/>
      <c r="K207" s="137"/>
      <c r="L207" s="138"/>
      <c r="O207" s="163">
        <f t="shared" si="10"/>
        <v>0.52500000000000002</v>
      </c>
      <c r="P207" s="23">
        <f t="shared" si="11"/>
        <v>525</v>
      </c>
    </row>
    <row r="208" spans="2:16" x14ac:dyDescent="0.25">
      <c r="B208" s="12" t="s">
        <v>302</v>
      </c>
      <c r="C208" s="12" t="s">
        <v>305</v>
      </c>
      <c r="D208" s="12">
        <v>126</v>
      </c>
      <c r="E208" s="127">
        <v>150</v>
      </c>
      <c r="F208" t="s">
        <v>307</v>
      </c>
      <c r="G208" s="35">
        <v>10001</v>
      </c>
      <c r="H208" s="35">
        <v>20000</v>
      </c>
      <c r="I208" s="127">
        <v>20000</v>
      </c>
      <c r="J208" s="138"/>
      <c r="K208" s="137"/>
      <c r="L208" s="138"/>
      <c r="O208" s="163">
        <f t="shared" si="10"/>
        <v>0.27859999999999996</v>
      </c>
      <c r="P208" s="23">
        <f t="shared" si="11"/>
        <v>278.59999999999997</v>
      </c>
    </row>
    <row r="209" spans="2:16" x14ac:dyDescent="0.25">
      <c r="B209" s="12" t="s">
        <v>302</v>
      </c>
      <c r="C209" s="12" t="s">
        <v>305</v>
      </c>
      <c r="D209" s="12">
        <v>126</v>
      </c>
      <c r="E209" s="127">
        <v>150</v>
      </c>
      <c r="F209" t="s">
        <v>307</v>
      </c>
      <c r="G209" s="35">
        <v>20001</v>
      </c>
      <c r="H209" s="35">
        <v>50000</v>
      </c>
      <c r="I209" s="127">
        <v>50000</v>
      </c>
      <c r="J209" s="138"/>
      <c r="K209" s="137"/>
      <c r="L209" s="138"/>
      <c r="O209" s="163">
        <f t="shared" si="10"/>
        <v>0.20300000000000001</v>
      </c>
      <c r="P209" s="23">
        <f t="shared" si="11"/>
        <v>203</v>
      </c>
    </row>
    <row r="210" spans="2:16" x14ac:dyDescent="0.25">
      <c r="B210" s="12" t="s">
        <v>302</v>
      </c>
      <c r="C210" s="12" t="s">
        <v>305</v>
      </c>
      <c r="D210" s="12">
        <v>126</v>
      </c>
      <c r="E210" s="127">
        <v>150</v>
      </c>
      <c r="F210" t="s">
        <v>307</v>
      </c>
      <c r="G210" s="35">
        <v>50001</v>
      </c>
      <c r="H210" s="35">
        <v>999999</v>
      </c>
      <c r="I210" s="127">
        <v>100000</v>
      </c>
      <c r="J210" s="138"/>
      <c r="K210" s="137"/>
      <c r="L210" s="138"/>
      <c r="O210" s="163">
        <f t="shared" si="10"/>
        <v>0.16800000000000001</v>
      </c>
      <c r="P210" s="23">
        <f t="shared" si="11"/>
        <v>168</v>
      </c>
    </row>
    <row r="211" spans="2:16" x14ac:dyDescent="0.25">
      <c r="B211" s="12" t="s">
        <v>302</v>
      </c>
      <c r="C211" s="12" t="s">
        <v>322</v>
      </c>
      <c r="D211" s="12">
        <v>126</v>
      </c>
      <c r="E211" s="127">
        <v>150</v>
      </c>
      <c r="F211" t="s">
        <v>307</v>
      </c>
      <c r="G211" s="35">
        <v>0</v>
      </c>
      <c r="H211" s="35">
        <v>1000</v>
      </c>
      <c r="I211" s="127">
        <v>1000</v>
      </c>
      <c r="J211" s="138"/>
      <c r="K211" s="137"/>
      <c r="L211" s="138"/>
      <c r="O211" s="163">
        <f t="shared" si="10"/>
        <v>0.15539999999999998</v>
      </c>
      <c r="P211" s="23">
        <f t="shared" si="11"/>
        <v>155.39999999999998</v>
      </c>
    </row>
    <row r="212" spans="2:16" x14ac:dyDescent="0.25">
      <c r="B212" s="12" t="s">
        <v>302</v>
      </c>
      <c r="C212" s="12" t="s">
        <v>322</v>
      </c>
      <c r="D212" s="12">
        <v>126</v>
      </c>
      <c r="E212" s="127">
        <v>150</v>
      </c>
      <c r="F212" t="s">
        <v>307</v>
      </c>
      <c r="G212" s="35">
        <v>1001</v>
      </c>
      <c r="H212" s="35">
        <v>2000</v>
      </c>
      <c r="I212" s="127">
        <v>2000</v>
      </c>
      <c r="J212" s="138"/>
      <c r="K212" s="137"/>
      <c r="L212" s="138"/>
      <c r="O212" s="163">
        <f t="shared" si="10"/>
        <v>0.13719999999999999</v>
      </c>
      <c r="P212" s="23">
        <f t="shared" si="11"/>
        <v>137.19999999999999</v>
      </c>
    </row>
    <row r="213" spans="2:16" x14ac:dyDescent="0.25">
      <c r="B213" s="12" t="s">
        <v>302</v>
      </c>
      <c r="C213" s="12" t="s">
        <v>322</v>
      </c>
      <c r="D213" s="12">
        <v>126</v>
      </c>
      <c r="E213" s="127">
        <v>150</v>
      </c>
      <c r="F213" t="s">
        <v>307</v>
      </c>
      <c r="G213" s="35">
        <v>2001</v>
      </c>
      <c r="H213" s="35">
        <v>2500</v>
      </c>
      <c r="I213" s="127">
        <v>2500</v>
      </c>
      <c r="J213" s="138"/>
      <c r="K213" s="137"/>
      <c r="L213" s="138"/>
      <c r="O213" s="163">
        <f t="shared" si="10"/>
        <v>0.12739999999999999</v>
      </c>
      <c r="P213" s="23">
        <f t="shared" si="11"/>
        <v>127.39999999999999</v>
      </c>
    </row>
    <row r="214" spans="2:16" x14ac:dyDescent="0.25">
      <c r="B214" s="12" t="s">
        <v>302</v>
      </c>
      <c r="C214" s="12" t="s">
        <v>322</v>
      </c>
      <c r="D214" s="12">
        <v>126</v>
      </c>
      <c r="E214" s="127">
        <v>150</v>
      </c>
      <c r="F214" t="s">
        <v>307</v>
      </c>
      <c r="G214" s="35">
        <v>3001</v>
      </c>
      <c r="H214" s="35">
        <v>5000</v>
      </c>
      <c r="I214" s="127">
        <v>5000</v>
      </c>
      <c r="J214" s="138"/>
      <c r="K214" s="137"/>
      <c r="L214" s="138"/>
      <c r="O214" s="163">
        <f t="shared" si="10"/>
        <v>0.1176</v>
      </c>
      <c r="P214" s="23">
        <f t="shared" si="11"/>
        <v>117.6</v>
      </c>
    </row>
    <row r="215" spans="2:16" x14ac:dyDescent="0.25">
      <c r="B215" s="12" t="s">
        <v>302</v>
      </c>
      <c r="C215" s="12" t="s">
        <v>322</v>
      </c>
      <c r="D215" s="12">
        <v>126</v>
      </c>
      <c r="E215" s="127">
        <v>150</v>
      </c>
      <c r="F215" t="s">
        <v>307</v>
      </c>
      <c r="G215" s="35">
        <v>5001</v>
      </c>
      <c r="H215" s="35">
        <v>10000</v>
      </c>
      <c r="I215" s="127">
        <v>10000</v>
      </c>
      <c r="J215" s="138"/>
      <c r="K215" s="137"/>
      <c r="L215" s="138"/>
      <c r="O215" s="163">
        <f t="shared" si="10"/>
        <v>0.52500000000000002</v>
      </c>
      <c r="P215" s="23">
        <f t="shared" si="11"/>
        <v>525</v>
      </c>
    </row>
    <row r="216" spans="2:16" x14ac:dyDescent="0.25">
      <c r="B216" s="12" t="s">
        <v>302</v>
      </c>
      <c r="C216" s="12" t="s">
        <v>322</v>
      </c>
      <c r="D216" s="12">
        <v>126</v>
      </c>
      <c r="E216" s="127">
        <v>150</v>
      </c>
      <c r="F216" t="s">
        <v>307</v>
      </c>
      <c r="G216" s="35">
        <v>10001</v>
      </c>
      <c r="H216" s="35">
        <v>20000</v>
      </c>
      <c r="I216" s="127">
        <v>20000</v>
      </c>
      <c r="J216" s="138"/>
      <c r="K216" s="137"/>
      <c r="L216" s="138"/>
      <c r="O216" s="163">
        <f t="shared" si="10"/>
        <v>0.2702</v>
      </c>
      <c r="P216" s="23">
        <f t="shared" si="11"/>
        <v>270.2</v>
      </c>
    </row>
    <row r="217" spans="2:16" x14ac:dyDescent="0.25">
      <c r="B217" s="12" t="s">
        <v>302</v>
      </c>
      <c r="C217" s="12" t="s">
        <v>322</v>
      </c>
      <c r="D217" s="12">
        <v>126</v>
      </c>
      <c r="E217" s="127">
        <v>150</v>
      </c>
      <c r="F217" t="s">
        <v>307</v>
      </c>
      <c r="G217" s="35">
        <v>20001</v>
      </c>
      <c r="H217" s="35">
        <v>50000</v>
      </c>
      <c r="I217" s="127">
        <v>50000</v>
      </c>
      <c r="J217" s="138"/>
      <c r="K217" s="137"/>
      <c r="L217" s="138"/>
      <c r="O217" s="163">
        <f t="shared" si="10"/>
        <v>0.19600000000000001</v>
      </c>
      <c r="P217" s="23">
        <f t="shared" si="11"/>
        <v>196</v>
      </c>
    </row>
    <row r="218" spans="2:16" x14ac:dyDescent="0.25">
      <c r="B218" s="12" t="s">
        <v>302</v>
      </c>
      <c r="C218" s="12" t="s">
        <v>322</v>
      </c>
      <c r="D218" s="12">
        <v>126</v>
      </c>
      <c r="E218" s="127">
        <v>150</v>
      </c>
      <c r="F218" t="s">
        <v>307</v>
      </c>
      <c r="G218" s="35">
        <v>50001</v>
      </c>
      <c r="H218" s="35">
        <v>999999</v>
      </c>
      <c r="I218" s="127">
        <v>100000</v>
      </c>
      <c r="J218" s="138"/>
      <c r="K218" s="137"/>
      <c r="L218" s="138"/>
      <c r="O218" s="163">
        <f t="shared" si="10"/>
        <v>0.16239999999999999</v>
      </c>
      <c r="P218" s="23">
        <f t="shared" si="11"/>
        <v>162.39999999999998</v>
      </c>
    </row>
    <row r="219" spans="2:16" x14ac:dyDescent="0.25">
      <c r="B219" s="12" t="s">
        <v>302</v>
      </c>
      <c r="C219" s="12" t="s">
        <v>306</v>
      </c>
      <c r="D219" s="12">
        <v>151</v>
      </c>
      <c r="E219" s="12">
        <v>200</v>
      </c>
      <c r="F219" t="s">
        <v>307</v>
      </c>
      <c r="G219" s="35">
        <v>0</v>
      </c>
      <c r="H219" s="35">
        <v>1000</v>
      </c>
      <c r="I219" s="127">
        <v>1000</v>
      </c>
      <c r="J219" s="138"/>
      <c r="K219" s="137"/>
      <c r="L219" s="138"/>
      <c r="O219" s="163">
        <f t="shared" si="10"/>
        <v>0.14699999999999999</v>
      </c>
      <c r="P219" s="23">
        <f t="shared" si="11"/>
        <v>147</v>
      </c>
    </row>
    <row r="220" spans="2:16" x14ac:dyDescent="0.25">
      <c r="B220" s="12" t="s">
        <v>302</v>
      </c>
      <c r="C220" s="12" t="s">
        <v>306</v>
      </c>
      <c r="D220" s="12">
        <v>151</v>
      </c>
      <c r="E220" s="12">
        <v>200</v>
      </c>
      <c r="F220" t="s">
        <v>307</v>
      </c>
      <c r="G220" s="35">
        <v>1001</v>
      </c>
      <c r="H220" s="35">
        <v>2000</v>
      </c>
      <c r="I220" s="127">
        <v>2000</v>
      </c>
      <c r="J220" s="138"/>
      <c r="K220" s="137"/>
      <c r="L220" s="138"/>
      <c r="O220" s="163">
        <f t="shared" si="10"/>
        <v>0.13159999999999999</v>
      </c>
      <c r="P220" s="23">
        <f t="shared" si="11"/>
        <v>131.6</v>
      </c>
    </row>
    <row r="221" spans="2:16" x14ac:dyDescent="0.25">
      <c r="B221" s="12" t="s">
        <v>302</v>
      </c>
      <c r="C221" s="12" t="s">
        <v>306</v>
      </c>
      <c r="D221" s="12">
        <v>151</v>
      </c>
      <c r="E221" s="12">
        <v>200</v>
      </c>
      <c r="F221" t="s">
        <v>307</v>
      </c>
      <c r="G221" s="35">
        <v>2001</v>
      </c>
      <c r="H221" s="35">
        <v>2500</v>
      </c>
      <c r="I221" s="127">
        <v>2500</v>
      </c>
      <c r="J221" s="138"/>
      <c r="K221" s="137"/>
      <c r="L221" s="138"/>
      <c r="O221" s="163">
        <f t="shared" si="10"/>
        <v>0.12179999999999999</v>
      </c>
      <c r="P221" s="23">
        <f t="shared" si="11"/>
        <v>121.8</v>
      </c>
    </row>
    <row r="222" spans="2:16" x14ac:dyDescent="0.25">
      <c r="B222" s="12" t="s">
        <v>302</v>
      </c>
      <c r="C222" s="12" t="s">
        <v>306</v>
      </c>
      <c r="D222" s="12">
        <v>151</v>
      </c>
      <c r="E222" s="12">
        <v>200</v>
      </c>
      <c r="F222" t="s">
        <v>307</v>
      </c>
      <c r="G222" s="35">
        <v>3001</v>
      </c>
      <c r="H222" s="35">
        <v>5000</v>
      </c>
      <c r="I222" s="127">
        <v>5000</v>
      </c>
      <c r="J222" s="138"/>
      <c r="K222" s="137"/>
      <c r="L222" s="138"/>
      <c r="O222" s="163">
        <f t="shared" si="10"/>
        <v>0.112</v>
      </c>
      <c r="P222" s="23">
        <f t="shared" si="11"/>
        <v>112</v>
      </c>
    </row>
    <row r="223" spans="2:16" x14ac:dyDescent="0.25">
      <c r="B223" s="12" t="s">
        <v>302</v>
      </c>
      <c r="C223" s="12" t="s">
        <v>306</v>
      </c>
      <c r="D223" s="12">
        <v>151</v>
      </c>
      <c r="E223" s="127">
        <v>200</v>
      </c>
      <c r="F223" t="s">
        <v>307</v>
      </c>
      <c r="G223" s="35">
        <v>5001</v>
      </c>
      <c r="H223" s="35">
        <v>10000</v>
      </c>
      <c r="I223" s="127">
        <v>10000</v>
      </c>
      <c r="J223" s="138"/>
      <c r="K223" s="137"/>
      <c r="L223" s="138"/>
      <c r="O223" s="163">
        <f t="shared" si="10"/>
        <v>0.52500000000000002</v>
      </c>
      <c r="P223" s="23">
        <f t="shared" si="11"/>
        <v>525</v>
      </c>
    </row>
    <row r="224" spans="2:16" x14ac:dyDescent="0.25">
      <c r="B224" s="12" t="s">
        <v>302</v>
      </c>
      <c r="C224" s="12" t="s">
        <v>306</v>
      </c>
      <c r="D224" s="12">
        <v>151</v>
      </c>
      <c r="E224" s="127">
        <v>200</v>
      </c>
      <c r="F224" t="s">
        <v>307</v>
      </c>
      <c r="G224" s="35">
        <v>10001</v>
      </c>
      <c r="H224" s="35">
        <v>20000</v>
      </c>
      <c r="I224" s="127">
        <v>20000</v>
      </c>
      <c r="J224" s="138"/>
      <c r="K224" s="137"/>
      <c r="L224" s="138"/>
      <c r="O224" s="163">
        <f t="shared" si="10"/>
        <v>0.2702</v>
      </c>
      <c r="P224" s="23">
        <f t="shared" si="11"/>
        <v>270.2</v>
      </c>
    </row>
    <row r="225" spans="2:16" x14ac:dyDescent="0.25">
      <c r="B225" s="12" t="s">
        <v>302</v>
      </c>
      <c r="C225" s="12" t="s">
        <v>301</v>
      </c>
      <c r="D225" s="12">
        <v>151</v>
      </c>
      <c r="E225" s="12">
        <v>200</v>
      </c>
      <c r="F225" t="s">
        <v>307</v>
      </c>
      <c r="G225" s="35">
        <v>0</v>
      </c>
      <c r="H225" s="35">
        <v>1000</v>
      </c>
      <c r="I225" s="127">
        <v>1000</v>
      </c>
      <c r="J225" s="138"/>
      <c r="K225" s="137"/>
      <c r="L225" s="138"/>
      <c r="O225" s="163">
        <f t="shared" si="10"/>
        <v>0.19600000000000001</v>
      </c>
      <c r="P225" s="23">
        <f t="shared" si="11"/>
        <v>196</v>
      </c>
    </row>
    <row r="226" spans="2:16" x14ac:dyDescent="0.25">
      <c r="B226" s="12" t="s">
        <v>302</v>
      </c>
      <c r="C226" s="12" t="s">
        <v>301</v>
      </c>
      <c r="D226" s="12">
        <v>151</v>
      </c>
      <c r="E226" s="12">
        <v>200</v>
      </c>
      <c r="F226" t="s">
        <v>307</v>
      </c>
      <c r="G226" s="35">
        <v>1001</v>
      </c>
      <c r="H226" s="35">
        <v>2000</v>
      </c>
      <c r="I226" s="127">
        <v>2000</v>
      </c>
      <c r="J226" s="138"/>
      <c r="K226" s="137"/>
      <c r="L226" s="138"/>
      <c r="O226" s="163">
        <f t="shared" si="10"/>
        <v>0.16239999999999999</v>
      </c>
      <c r="P226" s="23">
        <f t="shared" si="11"/>
        <v>162.39999999999998</v>
      </c>
    </row>
    <row r="227" spans="2:16" x14ac:dyDescent="0.25">
      <c r="B227" s="12" t="s">
        <v>302</v>
      </c>
      <c r="C227" s="12" t="s">
        <v>301</v>
      </c>
      <c r="D227" s="12">
        <v>151</v>
      </c>
      <c r="E227" s="12">
        <v>200</v>
      </c>
      <c r="F227" t="s">
        <v>307</v>
      </c>
      <c r="G227" s="35">
        <v>2001</v>
      </c>
      <c r="H227" s="35">
        <v>2500</v>
      </c>
      <c r="I227" s="127">
        <v>2500</v>
      </c>
      <c r="J227" s="138"/>
      <c r="K227" s="137"/>
      <c r="L227" s="138"/>
      <c r="O227" s="163">
        <f t="shared" si="10"/>
        <v>0.14699999999999999</v>
      </c>
      <c r="P227" s="23">
        <f t="shared" si="11"/>
        <v>147</v>
      </c>
    </row>
    <row r="228" spans="2:16" x14ac:dyDescent="0.25">
      <c r="B228" s="12" t="s">
        <v>302</v>
      </c>
      <c r="C228" s="12" t="s">
        <v>301</v>
      </c>
      <c r="D228" s="12">
        <v>151</v>
      </c>
      <c r="E228" s="12">
        <v>200</v>
      </c>
      <c r="F228" t="s">
        <v>307</v>
      </c>
      <c r="G228" s="35">
        <v>3001</v>
      </c>
      <c r="H228" s="35">
        <v>5000</v>
      </c>
      <c r="I228" s="127">
        <v>5000</v>
      </c>
      <c r="J228" s="138"/>
      <c r="K228" s="137"/>
      <c r="L228" s="138"/>
      <c r="O228" s="163">
        <f t="shared" si="10"/>
        <v>0.13159999999999999</v>
      </c>
      <c r="P228" s="23">
        <f t="shared" si="11"/>
        <v>131.6</v>
      </c>
    </row>
    <row r="229" spans="2:16" x14ac:dyDescent="0.25">
      <c r="B229" s="12" t="s">
        <v>302</v>
      </c>
      <c r="C229" s="12" t="s">
        <v>301</v>
      </c>
      <c r="D229" s="12">
        <v>151</v>
      </c>
      <c r="E229" s="127">
        <v>200</v>
      </c>
      <c r="F229" t="s">
        <v>307</v>
      </c>
      <c r="G229" s="35">
        <v>5001</v>
      </c>
      <c r="H229" s="35">
        <v>10000</v>
      </c>
      <c r="I229" s="127">
        <v>10000</v>
      </c>
      <c r="J229" s="138"/>
      <c r="K229" s="137"/>
      <c r="L229" s="138"/>
      <c r="O229" s="163">
        <f t="shared" si="10"/>
        <v>0.12179999999999999</v>
      </c>
      <c r="P229" s="23">
        <f t="shared" si="11"/>
        <v>121.8</v>
      </c>
    </row>
    <row r="230" spans="2:16" x14ac:dyDescent="0.25">
      <c r="B230" s="12" t="s">
        <v>302</v>
      </c>
      <c r="C230" s="12" t="s">
        <v>301</v>
      </c>
      <c r="D230" s="12">
        <v>151</v>
      </c>
      <c r="E230" s="127">
        <v>200</v>
      </c>
      <c r="F230" t="s">
        <v>307</v>
      </c>
      <c r="G230" s="35">
        <v>10001</v>
      </c>
      <c r="H230" s="35">
        <v>20000</v>
      </c>
      <c r="I230" s="127">
        <v>20000</v>
      </c>
      <c r="J230" s="138"/>
      <c r="K230" s="137"/>
      <c r="L230" s="138"/>
      <c r="O230" s="163">
        <f t="shared" si="10"/>
        <v>0.112</v>
      </c>
      <c r="P230" s="23">
        <f t="shared" si="11"/>
        <v>112</v>
      </c>
    </row>
    <row r="231" spans="2:16" x14ac:dyDescent="0.25">
      <c r="B231" s="12" t="s">
        <v>302</v>
      </c>
      <c r="C231" s="12" t="s">
        <v>305</v>
      </c>
      <c r="D231" s="12">
        <v>151</v>
      </c>
      <c r="E231" s="12">
        <v>200</v>
      </c>
      <c r="F231" t="s">
        <v>307</v>
      </c>
      <c r="G231" s="35">
        <v>0</v>
      </c>
      <c r="H231" s="35">
        <v>1000</v>
      </c>
      <c r="I231" s="127">
        <v>1000</v>
      </c>
      <c r="J231" s="138"/>
      <c r="K231" s="137"/>
      <c r="L231" s="138"/>
      <c r="O231" s="163">
        <f t="shared" si="10"/>
        <v>0.52500000000000002</v>
      </c>
      <c r="P231" s="23">
        <f t="shared" si="11"/>
        <v>525</v>
      </c>
    </row>
    <row r="232" spans="2:16" x14ac:dyDescent="0.25">
      <c r="B232" s="12" t="s">
        <v>302</v>
      </c>
      <c r="C232" s="12" t="s">
        <v>305</v>
      </c>
      <c r="D232" s="12">
        <v>151</v>
      </c>
      <c r="E232" s="12">
        <v>200</v>
      </c>
      <c r="F232" t="s">
        <v>307</v>
      </c>
      <c r="G232" s="35">
        <v>1001</v>
      </c>
      <c r="H232" s="35">
        <v>2000</v>
      </c>
      <c r="I232" s="127">
        <v>2000</v>
      </c>
      <c r="J232" s="138"/>
      <c r="K232" s="137"/>
      <c r="L232" s="138"/>
      <c r="O232" s="163">
        <f t="shared" si="10"/>
        <v>0.26319999999999999</v>
      </c>
      <c r="P232" s="23">
        <f t="shared" si="11"/>
        <v>263.2</v>
      </c>
    </row>
    <row r="233" spans="2:16" x14ac:dyDescent="0.25">
      <c r="B233" s="12" t="s">
        <v>302</v>
      </c>
      <c r="C233" s="12" t="s">
        <v>305</v>
      </c>
      <c r="D233" s="12">
        <v>151</v>
      </c>
      <c r="E233" s="12">
        <v>200</v>
      </c>
      <c r="F233" t="s">
        <v>307</v>
      </c>
      <c r="G233" s="35">
        <v>2001</v>
      </c>
      <c r="H233" s="35">
        <v>2500</v>
      </c>
      <c r="I233" s="127">
        <v>2500</v>
      </c>
      <c r="J233" s="138"/>
      <c r="K233" s="137"/>
      <c r="L233" s="138"/>
      <c r="O233" s="163">
        <f t="shared" si="10"/>
        <v>0.19179999999999997</v>
      </c>
      <c r="P233" s="23">
        <f t="shared" si="11"/>
        <v>191.79999999999998</v>
      </c>
    </row>
    <row r="234" spans="2:16" x14ac:dyDescent="0.25">
      <c r="B234" s="12" t="s">
        <v>302</v>
      </c>
      <c r="C234" s="12" t="s">
        <v>305</v>
      </c>
      <c r="D234" s="12">
        <v>151</v>
      </c>
      <c r="E234" s="12">
        <v>200</v>
      </c>
      <c r="F234" t="s">
        <v>307</v>
      </c>
      <c r="G234" s="35">
        <v>3001</v>
      </c>
      <c r="H234" s="35">
        <v>5000</v>
      </c>
      <c r="I234" s="127">
        <v>5000</v>
      </c>
      <c r="J234" s="138"/>
      <c r="K234" s="137"/>
      <c r="L234" s="138"/>
      <c r="O234" s="163">
        <f t="shared" si="10"/>
        <v>0.15679999999999999</v>
      </c>
      <c r="P234" s="23">
        <f t="shared" si="11"/>
        <v>156.79999999999998</v>
      </c>
    </row>
    <row r="235" spans="2:16" x14ac:dyDescent="0.25">
      <c r="B235" s="12" t="s">
        <v>302</v>
      </c>
      <c r="C235" s="12" t="s">
        <v>305</v>
      </c>
      <c r="D235" s="12">
        <v>151</v>
      </c>
      <c r="E235" s="127">
        <v>200</v>
      </c>
      <c r="F235" t="s">
        <v>307</v>
      </c>
      <c r="G235" s="35">
        <v>5001</v>
      </c>
      <c r="H235" s="35">
        <v>10000</v>
      </c>
      <c r="I235" s="127">
        <v>10000</v>
      </c>
      <c r="J235" s="138"/>
      <c r="K235" s="137"/>
      <c r="L235" s="138"/>
      <c r="O235" s="163">
        <f t="shared" si="10"/>
        <v>0.13719999999999999</v>
      </c>
      <c r="P235" s="23">
        <f t="shared" si="11"/>
        <v>137.19999999999999</v>
      </c>
    </row>
    <row r="236" spans="2:16" x14ac:dyDescent="0.25">
      <c r="B236" s="12" t="s">
        <v>302</v>
      </c>
      <c r="C236" s="12" t="s">
        <v>305</v>
      </c>
      <c r="D236" s="12">
        <v>151</v>
      </c>
      <c r="E236" s="127">
        <v>200</v>
      </c>
      <c r="F236" t="s">
        <v>307</v>
      </c>
      <c r="G236" s="35">
        <v>10001</v>
      </c>
      <c r="H236" s="35">
        <v>20000</v>
      </c>
      <c r="I236" s="127">
        <v>20000</v>
      </c>
      <c r="J236" s="138"/>
      <c r="K236" s="137"/>
      <c r="L236" s="138"/>
      <c r="O236" s="163">
        <f t="shared" si="10"/>
        <v>0.12459999999999999</v>
      </c>
      <c r="P236" s="23">
        <f t="shared" si="11"/>
        <v>124.6</v>
      </c>
    </row>
    <row r="237" spans="2:16" x14ac:dyDescent="0.25">
      <c r="B237" s="12" t="s">
        <v>302</v>
      </c>
      <c r="C237" s="12" t="s">
        <v>322</v>
      </c>
      <c r="D237" s="12">
        <v>151</v>
      </c>
      <c r="E237" s="12">
        <v>200</v>
      </c>
      <c r="F237" t="s">
        <v>307</v>
      </c>
      <c r="G237" s="35">
        <v>0</v>
      </c>
      <c r="H237" s="35">
        <v>1000</v>
      </c>
      <c r="I237" s="127">
        <v>1000</v>
      </c>
      <c r="J237" s="138"/>
      <c r="K237" s="137"/>
      <c r="L237" s="138"/>
      <c r="O237" s="163">
        <f t="shared" si="10"/>
        <v>0.11339999999999999</v>
      </c>
      <c r="P237" s="23">
        <f t="shared" si="11"/>
        <v>113.39999999999999</v>
      </c>
    </row>
    <row r="238" spans="2:16" x14ac:dyDescent="0.25">
      <c r="B238" s="12" t="s">
        <v>302</v>
      </c>
      <c r="C238" s="12" t="s">
        <v>322</v>
      </c>
      <c r="D238" s="12">
        <v>151</v>
      </c>
      <c r="E238" s="12">
        <v>200</v>
      </c>
      <c r="F238" t="s">
        <v>307</v>
      </c>
      <c r="G238" s="35">
        <v>1001</v>
      </c>
      <c r="H238" s="35">
        <v>2000</v>
      </c>
      <c r="I238" s="127">
        <v>2000</v>
      </c>
      <c r="J238" s="138"/>
      <c r="K238" s="137"/>
      <c r="L238" s="138"/>
      <c r="O238" s="163">
        <f t="shared" ref="O238:O246" si="12">+P238/1000</f>
        <v>0.10639999999999999</v>
      </c>
      <c r="P238" s="23">
        <f t="shared" si="11"/>
        <v>106.39999999999999</v>
      </c>
    </row>
    <row r="239" spans="2:16" x14ac:dyDescent="0.25">
      <c r="B239" s="12" t="s">
        <v>302</v>
      </c>
      <c r="C239" s="12" t="s">
        <v>322</v>
      </c>
      <c r="D239" s="12">
        <v>151</v>
      </c>
      <c r="E239" s="12">
        <v>200</v>
      </c>
      <c r="F239" t="s">
        <v>307</v>
      </c>
      <c r="G239" s="35">
        <v>2001</v>
      </c>
      <c r="H239" s="35">
        <v>2500</v>
      </c>
      <c r="I239" s="127">
        <v>2500</v>
      </c>
      <c r="J239" s="138"/>
      <c r="K239" s="137"/>
      <c r="L239" s="138"/>
      <c r="O239" s="163">
        <f t="shared" si="12"/>
        <v>0.52500000000000002</v>
      </c>
      <c r="P239" s="23">
        <f t="shared" si="11"/>
        <v>525</v>
      </c>
    </row>
    <row r="240" spans="2:16" x14ac:dyDescent="0.25">
      <c r="B240" s="12" t="s">
        <v>302</v>
      </c>
      <c r="C240" s="12" t="s">
        <v>322</v>
      </c>
      <c r="D240" s="12">
        <v>151</v>
      </c>
      <c r="E240" s="12">
        <v>200</v>
      </c>
      <c r="F240" t="s">
        <v>307</v>
      </c>
      <c r="G240" s="35">
        <v>3001</v>
      </c>
      <c r="H240" s="35">
        <v>5000</v>
      </c>
      <c r="I240" s="127">
        <v>5000</v>
      </c>
      <c r="J240" s="138"/>
      <c r="K240" s="137"/>
      <c r="L240" s="138"/>
      <c r="O240" s="163">
        <f t="shared" si="12"/>
        <v>0.26319999999999999</v>
      </c>
      <c r="P240" s="23">
        <f t="shared" si="11"/>
        <v>263.2</v>
      </c>
    </row>
    <row r="241" spans="2:16" x14ac:dyDescent="0.25">
      <c r="B241" s="12" t="s">
        <v>302</v>
      </c>
      <c r="C241" s="12" t="s">
        <v>322</v>
      </c>
      <c r="D241" s="12">
        <v>151</v>
      </c>
      <c r="E241" s="127">
        <v>200</v>
      </c>
      <c r="F241" t="s">
        <v>307</v>
      </c>
      <c r="G241" s="35">
        <v>5001</v>
      </c>
      <c r="H241" s="35">
        <v>10000</v>
      </c>
      <c r="I241" s="127">
        <v>10000</v>
      </c>
      <c r="J241" s="138"/>
      <c r="K241" s="137"/>
      <c r="L241" s="138"/>
      <c r="O241" s="163">
        <f t="shared" si="12"/>
        <v>0.19179999999999997</v>
      </c>
      <c r="P241" s="23">
        <f t="shared" si="11"/>
        <v>191.79999999999998</v>
      </c>
    </row>
    <row r="242" spans="2:16" x14ac:dyDescent="0.25">
      <c r="B242" s="12" t="s">
        <v>302</v>
      </c>
      <c r="C242" s="12" t="s">
        <v>322</v>
      </c>
      <c r="D242" s="12">
        <v>151</v>
      </c>
      <c r="E242" s="127">
        <v>200</v>
      </c>
      <c r="F242" t="s">
        <v>307</v>
      </c>
      <c r="G242" s="35">
        <v>10001</v>
      </c>
      <c r="H242" s="35">
        <v>20000</v>
      </c>
      <c r="I242" s="127">
        <v>20000</v>
      </c>
      <c r="J242" s="138"/>
      <c r="K242" s="137"/>
      <c r="L242" s="138"/>
      <c r="O242" s="163">
        <f t="shared" si="12"/>
        <v>0.15679999999999999</v>
      </c>
      <c r="P242" s="23">
        <f t="shared" si="11"/>
        <v>156.79999999999998</v>
      </c>
    </row>
    <row r="243" spans="2:16" x14ac:dyDescent="0.25">
      <c r="B243" s="12" t="s">
        <v>302</v>
      </c>
      <c r="C243" s="12" t="s">
        <v>306</v>
      </c>
      <c r="D243" s="12">
        <v>201</v>
      </c>
      <c r="E243" s="12">
        <v>250</v>
      </c>
      <c r="F243" t="s">
        <v>307</v>
      </c>
      <c r="G243" s="35">
        <v>2501</v>
      </c>
      <c r="H243" s="35">
        <v>3000</v>
      </c>
      <c r="I243" s="127">
        <v>3000</v>
      </c>
      <c r="J243" s="138"/>
      <c r="K243" s="137"/>
      <c r="L243" s="138"/>
      <c r="O243" s="163">
        <f t="shared" si="12"/>
        <v>0.13719999999999999</v>
      </c>
      <c r="P243" s="23">
        <f t="shared" si="11"/>
        <v>137.19999999999999</v>
      </c>
    </row>
    <row r="244" spans="2:16" x14ac:dyDescent="0.25">
      <c r="B244" s="12" t="s">
        <v>302</v>
      </c>
      <c r="C244" s="12" t="s">
        <v>301</v>
      </c>
      <c r="D244" s="12">
        <v>201</v>
      </c>
      <c r="E244" s="12">
        <v>250</v>
      </c>
      <c r="F244" t="s">
        <v>307</v>
      </c>
      <c r="G244" s="35">
        <v>2501</v>
      </c>
      <c r="H244" s="35">
        <v>3000</v>
      </c>
      <c r="I244" s="127">
        <v>3000</v>
      </c>
      <c r="J244" s="138"/>
      <c r="K244" s="137"/>
      <c r="L244" s="138"/>
      <c r="O244" s="163">
        <f t="shared" si="12"/>
        <v>0.12459999999999999</v>
      </c>
      <c r="P244" s="23">
        <f t="shared" si="11"/>
        <v>124.6</v>
      </c>
    </row>
    <row r="245" spans="2:16" x14ac:dyDescent="0.25">
      <c r="B245" s="12" t="s">
        <v>302</v>
      </c>
      <c r="C245" s="12" t="s">
        <v>305</v>
      </c>
      <c r="D245" s="12">
        <v>201</v>
      </c>
      <c r="E245" s="12">
        <v>250</v>
      </c>
      <c r="F245" t="s">
        <v>307</v>
      </c>
      <c r="G245" s="35">
        <v>2501</v>
      </c>
      <c r="H245" s="35">
        <v>3000</v>
      </c>
      <c r="I245" s="127">
        <v>3000</v>
      </c>
      <c r="J245" s="138"/>
      <c r="K245" s="137"/>
      <c r="L245" s="138"/>
      <c r="O245" s="163">
        <f t="shared" si="12"/>
        <v>0.11339999999999999</v>
      </c>
      <c r="P245" s="23">
        <f t="shared" si="11"/>
        <v>113.39999999999999</v>
      </c>
    </row>
    <row r="246" spans="2:16" x14ac:dyDescent="0.25">
      <c r="B246" s="12" t="s">
        <v>302</v>
      </c>
      <c r="C246" s="12" t="s">
        <v>322</v>
      </c>
      <c r="D246" s="12">
        <v>201</v>
      </c>
      <c r="E246" s="12">
        <v>250</v>
      </c>
      <c r="F246" t="s">
        <v>307</v>
      </c>
      <c r="G246" s="35">
        <v>2501</v>
      </c>
      <c r="H246" s="35">
        <v>3000</v>
      </c>
      <c r="I246" s="127">
        <v>3000</v>
      </c>
      <c r="J246" s="138"/>
      <c r="K246" s="137"/>
      <c r="L246" s="138"/>
      <c r="O246" s="163">
        <f t="shared" si="12"/>
        <v>0.10639999999999999</v>
      </c>
      <c r="P246" s="23">
        <f t="shared" si="11"/>
        <v>106.39999999999999</v>
      </c>
    </row>
  </sheetData>
  <autoFilter ref="M2:R246" xr:uid="{8B110AF6-3B3B-4EE3-8692-1E3D2FF5097E}"/>
  <pageMargins left="0.70866141732283472" right="0.70866141732283472" top="0.74803149606299213" bottom="0.74803149606299213" header="0.31496062992125984" footer="0.31496062992125984"/>
  <pageSetup paperSize="9" scale="44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B756-2925-469B-A3CF-D8A01397C9D2}">
  <sheetPr codeName="Hoja9"/>
  <dimension ref="A1:Q257"/>
  <sheetViews>
    <sheetView zoomScale="70" zoomScaleNormal="70" workbookViewId="0">
      <selection activeCell="D201" sqref="D201"/>
    </sheetView>
  </sheetViews>
  <sheetFormatPr baseColWidth="10" defaultRowHeight="15" x14ac:dyDescent="0.25"/>
  <cols>
    <col min="1" max="1" width="15.85546875" bestFit="1" customWidth="1"/>
    <col min="2" max="3" width="11.42578125" customWidth="1"/>
    <col min="5" max="5" width="11.85546875" bestFit="1" customWidth="1"/>
    <col min="7" max="7" width="11.5703125" bestFit="1" customWidth="1"/>
    <col min="8" max="8" width="12" customWidth="1"/>
    <col min="10" max="10" width="11.5703125" bestFit="1" customWidth="1"/>
    <col min="15" max="15" width="12.85546875" customWidth="1"/>
    <col min="16" max="16" width="5.5703125" customWidth="1"/>
  </cols>
  <sheetData>
    <row r="1" spans="1:17" ht="46.5" x14ac:dyDescent="0.7">
      <c r="A1" s="30">
        <v>2025</v>
      </c>
      <c r="E1" s="31" t="s">
        <v>19</v>
      </c>
      <c r="L1" s="32" t="s">
        <v>20</v>
      </c>
      <c r="M1" s="32"/>
      <c r="N1" s="32"/>
      <c r="O1" s="32"/>
    </row>
    <row r="2" spans="1:17" ht="18.75" x14ac:dyDescent="0.3">
      <c r="A2" s="33" t="s">
        <v>21</v>
      </c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7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7" ht="18.75" x14ac:dyDescent="0.3">
      <c r="A4" s="35"/>
      <c r="B4" s="35"/>
      <c r="C4" s="36" t="s">
        <v>22</v>
      </c>
      <c r="D4" s="35"/>
      <c r="E4" s="35"/>
      <c r="F4" s="36" t="s">
        <v>23</v>
      </c>
      <c r="G4" s="35"/>
      <c r="H4" s="35"/>
      <c r="I4" s="36" t="s">
        <v>24</v>
      </c>
      <c r="J4" s="35"/>
      <c r="K4" s="35"/>
      <c r="L4" s="36" t="s">
        <v>25</v>
      </c>
      <c r="M4" s="35"/>
      <c r="N4" s="35"/>
    </row>
    <row r="5" spans="1:17" x14ac:dyDescent="0.25">
      <c r="A5" s="35"/>
      <c r="B5" s="35"/>
      <c r="C5" s="35"/>
      <c r="D5" s="35"/>
      <c r="E5" s="37"/>
      <c r="F5" s="35"/>
      <c r="G5" s="35"/>
      <c r="H5" s="35"/>
      <c r="I5" s="35"/>
      <c r="J5" s="35"/>
      <c r="K5" s="35"/>
      <c r="L5" s="35"/>
      <c r="M5" s="35"/>
      <c r="N5" s="35"/>
      <c r="P5" s="131"/>
      <c r="Q5" s="25" t="s">
        <v>261</v>
      </c>
    </row>
    <row r="6" spans="1:17" x14ac:dyDescent="0.25">
      <c r="A6" s="35" t="s">
        <v>26</v>
      </c>
      <c r="B6" s="35"/>
      <c r="C6" s="35" t="s">
        <v>27</v>
      </c>
      <c r="D6" s="38">
        <f>(1*1.5)*(32.2)/(500)*(1000)</f>
        <v>96.600000000000009</v>
      </c>
      <c r="E6" s="39"/>
      <c r="F6" s="35" t="s">
        <v>28</v>
      </c>
      <c r="G6" s="40">
        <f>(1*2.5)*(32.2)/(500)*(1000)</f>
        <v>161</v>
      </c>
      <c r="H6" s="40"/>
      <c r="I6" s="35" t="s">
        <v>29</v>
      </c>
      <c r="J6" s="40">
        <f>(1.5*1.5)*(32.2)/(500)*(1000)</f>
        <v>144.9</v>
      </c>
      <c r="K6" s="40"/>
      <c r="L6" s="35" t="s">
        <v>30</v>
      </c>
      <c r="M6" s="40">
        <f>(1.5*2.5)*(32.2)/(500)*(1000)</f>
        <v>241.50000000000003</v>
      </c>
      <c r="N6" s="40"/>
      <c r="P6" s="131"/>
    </row>
    <row r="7" spans="1:17" x14ac:dyDescent="0.25">
      <c r="A7" s="35" t="s">
        <v>31</v>
      </c>
      <c r="B7" s="35"/>
      <c r="C7" s="35" t="s">
        <v>29</v>
      </c>
      <c r="D7" s="38">
        <f>(1.5*1.5)*(32.2)/(1000)*(1000)</f>
        <v>72.45</v>
      </c>
      <c r="E7" s="39"/>
      <c r="F7" s="35" t="s">
        <v>30</v>
      </c>
      <c r="G7" s="40">
        <f>(1.5*2.5)*(32.2)/(1000)*(1000)</f>
        <v>120.75000000000001</v>
      </c>
      <c r="H7" s="40"/>
      <c r="I7" s="35" t="s">
        <v>32</v>
      </c>
      <c r="J7" s="40">
        <f>(2*1.5)*(32.2)/(1000)*(1000)</f>
        <v>96.600000000000009</v>
      </c>
      <c r="K7" s="40"/>
      <c r="L7" s="35" t="s">
        <v>33</v>
      </c>
      <c r="M7" s="40">
        <f>(2*2.5)*(32.2)/(1000)*(1000)</f>
        <v>161</v>
      </c>
      <c r="N7" s="40"/>
      <c r="P7" s="131"/>
    </row>
    <row r="8" spans="1:17" x14ac:dyDescent="0.25">
      <c r="A8" s="35" t="s">
        <v>34</v>
      </c>
      <c r="B8" s="35"/>
      <c r="C8" s="35" t="s">
        <v>35</v>
      </c>
      <c r="D8" s="38">
        <f>(1*1.5)*(32.2)/(800)*(1000)</f>
        <v>60.375000000000007</v>
      </c>
      <c r="E8" s="39"/>
      <c r="F8" s="35" t="s">
        <v>36</v>
      </c>
      <c r="G8" s="40">
        <f>(1*2.5)*(32.2)/(800)*(1000)</f>
        <v>100.625</v>
      </c>
      <c r="H8" s="40"/>
      <c r="I8" s="35" t="s">
        <v>37</v>
      </c>
      <c r="J8" s="40">
        <f>(1*1.5)*(32.2)/(600)*(1000)</f>
        <v>80.5</v>
      </c>
      <c r="K8" s="40"/>
      <c r="L8" s="35" t="s">
        <v>38</v>
      </c>
      <c r="M8" s="40">
        <f>(1*2.5)*(32.2)/(600)*(1000)</f>
        <v>134.16666666666666</v>
      </c>
      <c r="N8" s="40"/>
      <c r="P8" s="131"/>
    </row>
    <row r="9" spans="1:17" x14ac:dyDescent="0.25">
      <c r="A9" s="35" t="s">
        <v>39</v>
      </c>
      <c r="B9" s="35"/>
      <c r="C9" s="35" t="s">
        <v>40</v>
      </c>
      <c r="D9" s="38">
        <f>(1*1.5)*(32.2)/(900)*(1000)</f>
        <v>53.666666666666671</v>
      </c>
      <c r="E9" s="39"/>
      <c r="F9" s="35" t="s">
        <v>41</v>
      </c>
      <c r="G9" s="41">
        <f>(1*2.5)*(32.2)/(900)*(1000)</f>
        <v>89.444444444444443</v>
      </c>
      <c r="H9" s="42" t="s">
        <v>42</v>
      </c>
      <c r="I9" s="35" t="s">
        <v>43</v>
      </c>
      <c r="J9" s="40">
        <f>(1*1.5)*(32.2)/(700)*(1000)</f>
        <v>69</v>
      </c>
      <c r="K9" s="40"/>
      <c r="L9" s="35" t="s">
        <v>44</v>
      </c>
      <c r="M9" s="40">
        <f>(1*2.5)*(32.2)/(700)*(1000)</f>
        <v>115</v>
      </c>
      <c r="N9" s="40"/>
      <c r="P9" s="131"/>
    </row>
    <row r="10" spans="1:17" x14ac:dyDescent="0.25">
      <c r="A10" s="35" t="s">
        <v>45</v>
      </c>
      <c r="B10" s="35"/>
      <c r="C10" s="35" t="s">
        <v>46</v>
      </c>
      <c r="D10" s="38">
        <f>(1*1.5)*(32.2)/(1100)*(1000)</f>
        <v>43.909090909090914</v>
      </c>
      <c r="E10" s="43">
        <v>2000</v>
      </c>
      <c r="F10" s="35" t="s">
        <v>47</v>
      </c>
      <c r="G10" s="40">
        <f>(1*2.5)*(32.2)/(1100)*(1000)</f>
        <v>73.181818181818187</v>
      </c>
      <c r="H10" s="40"/>
      <c r="I10" s="35" t="s">
        <v>48</v>
      </c>
      <c r="J10" s="40">
        <f>(1*1.5)*(32.2)/(1000)*(1000)</f>
        <v>48.300000000000004</v>
      </c>
      <c r="K10" s="40"/>
      <c r="L10" s="35" t="s">
        <v>49</v>
      </c>
      <c r="M10" s="40">
        <f>(1*2.5)*(32.2)/(1000)*(1000)</f>
        <v>80.5</v>
      </c>
      <c r="N10" s="40"/>
      <c r="P10" s="131"/>
    </row>
    <row r="11" spans="1:17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P11" s="131"/>
    </row>
    <row r="12" spans="1:17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P12" s="131"/>
    </row>
    <row r="13" spans="1:17" ht="18.75" x14ac:dyDescent="0.3">
      <c r="A13" s="35"/>
      <c r="B13" s="35"/>
      <c r="C13" s="44" t="s">
        <v>18</v>
      </c>
      <c r="D13" s="35"/>
      <c r="E13" s="35"/>
      <c r="F13" s="44" t="s">
        <v>50</v>
      </c>
      <c r="G13" s="35"/>
      <c r="H13" s="35"/>
      <c r="I13" s="44" t="s">
        <v>17</v>
      </c>
      <c r="J13" s="35"/>
      <c r="K13" s="35"/>
      <c r="L13" s="35"/>
      <c r="M13" s="35"/>
      <c r="N13" s="35"/>
    </row>
    <row r="14" spans="1:17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7" x14ac:dyDescent="0.25">
      <c r="A15" s="35" t="s">
        <v>26</v>
      </c>
      <c r="B15" s="35"/>
      <c r="C15" s="35" t="s">
        <v>51</v>
      </c>
      <c r="D15" s="38">
        <f>(2.5*3.5)*(32.2)/(500)*(1000)</f>
        <v>563.5</v>
      </c>
      <c r="E15" s="35"/>
      <c r="F15" s="35" t="s">
        <v>52</v>
      </c>
      <c r="G15" s="38">
        <f>(2.5*4.5)*(32.2)/(500)*(1000)</f>
        <v>724.50000000000011</v>
      </c>
      <c r="H15" s="35"/>
      <c r="I15" s="35" t="s">
        <v>53</v>
      </c>
      <c r="J15" s="38">
        <f>(1*3.5)*(32.2)/(500)*(1000)</f>
        <v>225.40000000000003</v>
      </c>
      <c r="K15" s="35"/>
      <c r="L15" s="35"/>
      <c r="M15" s="35"/>
      <c r="N15" s="35"/>
    </row>
    <row r="16" spans="1:17" x14ac:dyDescent="0.25">
      <c r="A16" s="35" t="s">
        <v>31</v>
      </c>
      <c r="B16" s="35"/>
      <c r="C16" s="35" t="s">
        <v>54</v>
      </c>
      <c r="D16" s="38">
        <f>(3*3.5)*(32.2)/(1000)*(1000)</f>
        <v>338.1</v>
      </c>
      <c r="E16" s="35"/>
      <c r="F16" s="35" t="s">
        <v>55</v>
      </c>
      <c r="G16" s="38">
        <f>(3*4.5)*(32.2)/(1000)*(1000)</f>
        <v>434.70000000000005</v>
      </c>
      <c r="H16" s="35"/>
      <c r="I16" s="35" t="s">
        <v>56</v>
      </c>
      <c r="J16" s="38">
        <f>(1.5*3.5)*(32.2)/(1000)*(1000)</f>
        <v>169.05</v>
      </c>
      <c r="K16" s="35"/>
      <c r="L16" s="35"/>
      <c r="M16" s="35"/>
      <c r="N16" s="35"/>
    </row>
    <row r="17" spans="1:17" x14ac:dyDescent="0.25">
      <c r="A17" s="35" t="s">
        <v>34</v>
      </c>
      <c r="B17" s="35"/>
      <c r="C17" s="35" t="s">
        <v>57</v>
      </c>
      <c r="D17" s="38">
        <f>(1*3.5)*(32.2)/(600)*(1000)</f>
        <v>187.83333333333334</v>
      </c>
      <c r="E17" s="37" t="s">
        <v>58</v>
      </c>
      <c r="F17" s="35" t="s">
        <v>59</v>
      </c>
      <c r="G17" s="38">
        <f>(1*4.5)*(32.2)/(600)*(1000)</f>
        <v>241.50000000000003</v>
      </c>
      <c r="H17" s="43">
        <v>500</v>
      </c>
      <c r="I17" s="35" t="s">
        <v>60</v>
      </c>
      <c r="J17" s="38">
        <f>(1*3.5)*(32.2)/(700)*(1000)</f>
        <v>161.00000000000003</v>
      </c>
      <c r="K17" s="35"/>
      <c r="L17" s="35"/>
      <c r="M17" s="35"/>
      <c r="N17" s="35"/>
      <c r="P17" s="24"/>
    </row>
    <row r="18" spans="1:17" x14ac:dyDescent="0.25">
      <c r="A18" s="35" t="s">
        <v>39</v>
      </c>
      <c r="B18" s="35"/>
      <c r="C18" s="35" t="s">
        <v>60</v>
      </c>
      <c r="D18" s="38">
        <f>(1*3.5)*(32.2)/(700)*(1000)</f>
        <v>161.00000000000003</v>
      </c>
      <c r="E18" s="37" t="s">
        <v>42</v>
      </c>
      <c r="F18" s="35" t="s">
        <v>61</v>
      </c>
      <c r="G18" s="38">
        <f>(1*4.5)*(32.2)/(700)*(1000)</f>
        <v>207.00000000000003</v>
      </c>
      <c r="H18" s="35"/>
      <c r="I18" s="35" t="s">
        <v>62</v>
      </c>
      <c r="J18" s="38">
        <f>(1*3.5)*(32.2)/(750)*(1000)</f>
        <v>150.26666666666668</v>
      </c>
      <c r="K18" s="35"/>
      <c r="L18" s="35"/>
      <c r="M18" s="35"/>
      <c r="N18" s="35"/>
      <c r="P18" s="24"/>
      <c r="Q18" s="24" t="s">
        <v>262</v>
      </c>
    </row>
    <row r="19" spans="1:17" x14ac:dyDescent="0.25">
      <c r="A19" s="35" t="s">
        <v>63</v>
      </c>
      <c r="B19" s="35"/>
      <c r="C19" s="35" t="s">
        <v>64</v>
      </c>
      <c r="D19" s="38">
        <f>(1*3.5)*(32.2)/(800)*(1000)</f>
        <v>140.87500000000003</v>
      </c>
      <c r="E19" s="35"/>
      <c r="F19" s="35" t="s">
        <v>65</v>
      </c>
      <c r="G19" s="38">
        <f>(1*4.5)*(32.2)/(800)*(1000)</f>
        <v>181.125</v>
      </c>
      <c r="H19" s="43">
        <v>750</v>
      </c>
      <c r="I19" s="35" t="s">
        <v>66</v>
      </c>
      <c r="J19" s="38">
        <f>(1*3.5)*(32.2)/(850)*(1000)</f>
        <v>132.58823529411768</v>
      </c>
      <c r="K19" s="43">
        <v>800</v>
      </c>
      <c r="L19" s="35"/>
      <c r="M19" s="35"/>
      <c r="N19" s="35"/>
      <c r="P19" s="24"/>
      <c r="Q19" s="25" t="s">
        <v>254</v>
      </c>
    </row>
    <row r="20" spans="1:17" x14ac:dyDescent="0.25">
      <c r="A20" s="37" t="s">
        <v>67</v>
      </c>
      <c r="B20" s="37">
        <v>1400</v>
      </c>
      <c r="C20" s="37" t="s">
        <v>68</v>
      </c>
      <c r="D20" s="45">
        <f>(1*4.5)*(32.2)/(1200)*(1000)</f>
        <v>120.75000000000001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P20" s="24"/>
      <c r="Q20" s="25" t="s">
        <v>255</v>
      </c>
    </row>
    <row r="21" spans="1:17" x14ac:dyDescent="0.25">
      <c r="C21" s="27" t="s">
        <v>69</v>
      </c>
      <c r="P21" s="24"/>
      <c r="Q21" s="24"/>
    </row>
    <row r="22" spans="1:17" x14ac:dyDescent="0.25">
      <c r="P22" s="24"/>
      <c r="Q22" s="24"/>
    </row>
    <row r="23" spans="1:17" ht="18.75" x14ac:dyDescent="0.3">
      <c r="A23" s="46" t="s">
        <v>70</v>
      </c>
      <c r="B23" s="4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7" ht="18.75" x14ac:dyDescent="0.3">
      <c r="A25" s="29"/>
      <c r="B25" s="29"/>
      <c r="C25" s="47" t="s">
        <v>22</v>
      </c>
      <c r="D25" s="29"/>
      <c r="E25" s="29"/>
      <c r="F25" s="47" t="s">
        <v>23</v>
      </c>
      <c r="G25" s="29"/>
      <c r="H25" s="29"/>
      <c r="I25" s="47" t="s">
        <v>24</v>
      </c>
      <c r="J25" s="29"/>
      <c r="K25" s="29"/>
      <c r="L25" s="47" t="s">
        <v>25</v>
      </c>
      <c r="M25" s="29"/>
      <c r="N25" s="29"/>
    </row>
    <row r="26" spans="1:1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7" x14ac:dyDescent="0.25">
      <c r="A27" s="29" t="s">
        <v>26</v>
      </c>
      <c r="B27" s="29"/>
      <c r="C27" s="29" t="s">
        <v>27</v>
      </c>
      <c r="D27" s="48">
        <f>(1*1.5)*(32.2)/(500)*(1000)</f>
        <v>96.600000000000009</v>
      </c>
      <c r="E27" s="29"/>
      <c r="F27" s="29" t="s">
        <v>28</v>
      </c>
      <c r="G27" s="48">
        <f>(1*2.5)*(32.2)/(500)*(1000)</f>
        <v>161</v>
      </c>
      <c r="H27" s="29"/>
      <c r="I27" s="29" t="s">
        <v>29</v>
      </c>
      <c r="J27" s="48">
        <f>(1.5*1.5)*(32.2)/(500)*(1000)</f>
        <v>144.9</v>
      </c>
      <c r="K27" s="29"/>
      <c r="L27" s="29" t="s">
        <v>30</v>
      </c>
      <c r="M27" s="48">
        <f>(1.5*2.5)*(32.2)/(500)*(1000)</f>
        <v>241.50000000000003</v>
      </c>
      <c r="N27" s="29"/>
    </row>
    <row r="28" spans="1:17" x14ac:dyDescent="0.25">
      <c r="A28" s="29" t="s">
        <v>31</v>
      </c>
      <c r="B28" s="29"/>
      <c r="C28" s="29" t="s">
        <v>29</v>
      </c>
      <c r="D28" s="48">
        <f>(1.5*1.5)*(32.2)/(1000)*(1000)</f>
        <v>72.45</v>
      </c>
      <c r="E28" s="29"/>
      <c r="F28" s="29" t="s">
        <v>30</v>
      </c>
      <c r="G28" s="48">
        <f>(1.5*2.5)*(32.2)/(1000)*(1000)</f>
        <v>120.75000000000001</v>
      </c>
      <c r="H28" s="29"/>
      <c r="I28" s="29" t="s">
        <v>32</v>
      </c>
      <c r="J28" s="48">
        <f>(2*1.5)*(32.2)/(1000)*(1000)</f>
        <v>96.600000000000009</v>
      </c>
      <c r="K28" s="29"/>
      <c r="L28" s="29" t="s">
        <v>33</v>
      </c>
      <c r="M28" s="48">
        <f>(2*2.5)*(32.2)/(1000)*(1000)</f>
        <v>161</v>
      </c>
      <c r="N28" s="29"/>
    </row>
    <row r="29" spans="1:17" x14ac:dyDescent="0.25">
      <c r="A29" s="29" t="s">
        <v>34</v>
      </c>
      <c r="B29" s="29"/>
      <c r="C29" s="29" t="s">
        <v>35</v>
      </c>
      <c r="D29" s="48">
        <f>(1*1.5)*(32.2)/(800)*(1000)</f>
        <v>60.375000000000007</v>
      </c>
      <c r="E29" s="29"/>
      <c r="F29" s="29" t="s">
        <v>36</v>
      </c>
      <c r="G29" s="48">
        <f>(1*2.5)*(32.2)/(800)*(1000)</f>
        <v>100.625</v>
      </c>
      <c r="H29" s="29"/>
      <c r="I29" s="29" t="s">
        <v>37</v>
      </c>
      <c r="J29" s="48">
        <f>(1*1.5)*(32.2)/(600)*(1000)</f>
        <v>80.5</v>
      </c>
      <c r="K29" s="29"/>
      <c r="L29" s="29" t="s">
        <v>38</v>
      </c>
      <c r="M29" s="48">
        <f>(1*2.5)*(32.2)/(600)*(1000)</f>
        <v>134.16666666666666</v>
      </c>
      <c r="N29" s="29"/>
    </row>
    <row r="30" spans="1:17" x14ac:dyDescent="0.25">
      <c r="A30" s="29" t="s">
        <v>39</v>
      </c>
      <c r="B30" s="29"/>
      <c r="C30" s="29" t="s">
        <v>40</v>
      </c>
      <c r="D30" s="48">
        <f>(1*1.5)*(32.2)/(900)*(1000)</f>
        <v>53.666666666666671</v>
      </c>
      <c r="E30" s="29"/>
      <c r="F30" s="29" t="s">
        <v>41</v>
      </c>
      <c r="G30" s="48">
        <f>(1*2.5)*(32.2)/(900)*(1000)</f>
        <v>89.444444444444443</v>
      </c>
      <c r="H30" s="49">
        <v>850</v>
      </c>
      <c r="I30" s="29" t="s">
        <v>43</v>
      </c>
      <c r="J30" s="48">
        <f>(1*1.5)*(32.2)/(700)*(1000)</f>
        <v>69</v>
      </c>
      <c r="K30" s="29"/>
      <c r="L30" s="29" t="s">
        <v>44</v>
      </c>
      <c r="M30" s="48">
        <f>(1*2.5)*(32.2)/(700)*(1000)</f>
        <v>115</v>
      </c>
      <c r="N30" s="29"/>
    </row>
    <row r="31" spans="1:17" x14ac:dyDescent="0.25">
      <c r="A31" s="29" t="s">
        <v>45</v>
      </c>
      <c r="B31" s="29"/>
      <c r="C31" s="29" t="s">
        <v>46</v>
      </c>
      <c r="D31" s="48">
        <f>(1*1.5)*(32.2)/(1100)*(1000)</f>
        <v>43.909090909090914</v>
      </c>
      <c r="E31" s="29"/>
      <c r="F31" s="29" t="s">
        <v>47</v>
      </c>
      <c r="G31" s="48">
        <f>(1*2.5)*(32.2)/(1100)*(1000)</f>
        <v>73.181818181818187</v>
      </c>
      <c r="H31" s="29"/>
      <c r="I31" s="29" t="s">
        <v>48</v>
      </c>
      <c r="J31" s="48">
        <f>(1*1.5)*(32.2)/(1000)*(1000)</f>
        <v>48.300000000000004</v>
      </c>
      <c r="K31" s="29"/>
      <c r="L31" s="29" t="s">
        <v>49</v>
      </c>
      <c r="M31" s="48">
        <f>(1*2.5)*(32.2)/(1000)*(1000)</f>
        <v>80.5</v>
      </c>
      <c r="N31" s="29"/>
    </row>
    <row r="32" spans="1:17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7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7" ht="18.75" x14ac:dyDescent="0.3">
      <c r="A34" s="29"/>
      <c r="B34" s="29"/>
      <c r="C34" s="50" t="s">
        <v>18</v>
      </c>
      <c r="D34" s="29"/>
      <c r="E34" s="29"/>
      <c r="F34" s="50" t="s">
        <v>50</v>
      </c>
      <c r="G34" s="29"/>
      <c r="H34" s="29"/>
      <c r="I34" s="50" t="s">
        <v>17</v>
      </c>
      <c r="J34" s="29"/>
      <c r="K34" s="29"/>
      <c r="L34" s="29"/>
      <c r="M34" s="29"/>
      <c r="N34" s="29"/>
    </row>
    <row r="35" spans="1:17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7" x14ac:dyDescent="0.25">
      <c r="A36" s="29" t="s">
        <v>26</v>
      </c>
      <c r="B36" s="29"/>
      <c r="C36" s="29" t="s">
        <v>51</v>
      </c>
      <c r="D36" s="48">
        <f>(2.5*3.5)*(32.2)/(500)*(1000)</f>
        <v>563.5</v>
      </c>
      <c r="E36" s="29"/>
      <c r="F36" s="29" t="s">
        <v>52</v>
      </c>
      <c r="G36" s="48">
        <f>(2.5*4.5)*(32.2)/(500)*(1000)</f>
        <v>724.50000000000011</v>
      </c>
      <c r="H36" s="29"/>
      <c r="I36" s="29" t="s">
        <v>53</v>
      </c>
      <c r="J36" s="48">
        <f>(1*3.5)*(32.2)/(500)*(1000)</f>
        <v>225.40000000000003</v>
      </c>
      <c r="K36" s="29"/>
      <c r="L36" s="29"/>
      <c r="M36" s="29"/>
      <c r="N36" s="29"/>
    </row>
    <row r="37" spans="1:17" x14ac:dyDescent="0.25">
      <c r="A37" s="29" t="s">
        <v>31</v>
      </c>
      <c r="B37" s="29"/>
      <c r="C37" s="29" t="s">
        <v>54</v>
      </c>
      <c r="D37" s="48">
        <f>(3*3.5)*(32.2)/(1000)*(1000)</f>
        <v>338.1</v>
      </c>
      <c r="E37" s="29"/>
      <c r="F37" s="29" t="s">
        <v>55</v>
      </c>
      <c r="G37" s="48">
        <f>(3*4.5)*(32.2)/(1000)*(1000)</f>
        <v>434.70000000000005</v>
      </c>
      <c r="H37" s="29"/>
      <c r="I37" s="29" t="s">
        <v>56</v>
      </c>
      <c r="J37" s="48">
        <f>(1.5*3.5)*(32.2)/(1000)*(1000)</f>
        <v>169.05</v>
      </c>
      <c r="K37" s="29"/>
      <c r="L37" s="29"/>
      <c r="M37" s="29"/>
      <c r="N37" s="29"/>
    </row>
    <row r="38" spans="1:17" x14ac:dyDescent="0.25">
      <c r="A38" s="29" t="s">
        <v>34</v>
      </c>
      <c r="B38" s="29"/>
      <c r="C38" s="29" t="s">
        <v>71</v>
      </c>
      <c r="D38" s="48">
        <f>(1*3.5)*(32.2)/(500)*(1000)</f>
        <v>225.40000000000003</v>
      </c>
      <c r="E38" s="51" t="s">
        <v>72</v>
      </c>
      <c r="F38" s="29" t="s">
        <v>73</v>
      </c>
      <c r="G38" s="48">
        <f>(1*4.5)*(32.2)/(500)*(1000)</f>
        <v>289.8</v>
      </c>
      <c r="H38" s="51" t="s">
        <v>72</v>
      </c>
      <c r="I38" s="29" t="s">
        <v>74</v>
      </c>
      <c r="J38" s="48">
        <f>(1*3.5)*(32.2)/(675)*(1000)</f>
        <v>166.96296296296299</v>
      </c>
      <c r="K38" s="29"/>
      <c r="L38" s="29"/>
      <c r="M38" s="29"/>
      <c r="N38" s="29"/>
    </row>
    <row r="39" spans="1:17" x14ac:dyDescent="0.25">
      <c r="A39" s="29" t="s">
        <v>39</v>
      </c>
      <c r="B39" s="29"/>
      <c r="C39" s="29" t="s">
        <v>57</v>
      </c>
      <c r="D39" s="48">
        <f>(1*3.5)*(32.2)/(600)*(1000)</f>
        <v>187.83333333333334</v>
      </c>
      <c r="E39" s="51" t="s">
        <v>75</v>
      </c>
      <c r="F39" s="29" t="s">
        <v>59</v>
      </c>
      <c r="G39" s="48">
        <f>(1*4.5)*(32.2)/(600)*(1000)</f>
        <v>241.50000000000003</v>
      </c>
      <c r="H39" s="51" t="s">
        <v>76</v>
      </c>
      <c r="I39" s="29" t="s">
        <v>77</v>
      </c>
      <c r="J39" s="48">
        <f>(1*3.5)*(32.2)/(725)*(1000)</f>
        <v>155.44827586206901</v>
      </c>
      <c r="K39" s="51" t="s">
        <v>58</v>
      </c>
      <c r="L39" s="29"/>
      <c r="M39" s="29"/>
      <c r="N39" s="29"/>
    </row>
    <row r="40" spans="1:17" x14ac:dyDescent="0.25">
      <c r="A40" s="29" t="s">
        <v>45</v>
      </c>
      <c r="B40" s="29"/>
      <c r="C40" s="29" t="s">
        <v>60</v>
      </c>
      <c r="D40" s="48">
        <f>(1*3.5)*(32.2)/(700)*(1000)</f>
        <v>161.00000000000003</v>
      </c>
      <c r="E40" s="51" t="s">
        <v>42</v>
      </c>
      <c r="F40" s="29" t="s">
        <v>61</v>
      </c>
      <c r="G40" s="48">
        <f>(1*4.5)*(32.2)/(700)*(1000)</f>
        <v>207.00000000000003</v>
      </c>
      <c r="H40" s="51" t="s">
        <v>42</v>
      </c>
      <c r="I40" s="29" t="s">
        <v>78</v>
      </c>
      <c r="J40" s="48">
        <f>(1*3.5)*(32.2)/(825)*(1000)</f>
        <v>136.60606060606062</v>
      </c>
      <c r="K40" s="49">
        <v>800</v>
      </c>
      <c r="L40" s="29"/>
      <c r="M40" s="29"/>
      <c r="N40" s="29"/>
    </row>
    <row r="41" spans="1:17" x14ac:dyDescent="0.25">
      <c r="A41" s="51" t="s">
        <v>79</v>
      </c>
      <c r="D41" s="52">
        <v>116</v>
      </c>
      <c r="Q41" s="27" t="s">
        <v>272</v>
      </c>
    </row>
    <row r="44" spans="1:17" ht="18.75" x14ac:dyDescent="0.3">
      <c r="A44" s="53" t="s">
        <v>80</v>
      </c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spans="1:17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1:17" ht="18.75" x14ac:dyDescent="0.3">
      <c r="A46" s="55"/>
      <c r="B46" s="55"/>
      <c r="C46" s="54" t="s">
        <v>22</v>
      </c>
      <c r="D46" s="55"/>
      <c r="E46" s="55"/>
      <c r="F46" s="54" t="s">
        <v>23</v>
      </c>
      <c r="G46" s="55"/>
      <c r="H46" s="55"/>
      <c r="I46" s="54" t="s">
        <v>24</v>
      </c>
      <c r="J46" s="55"/>
      <c r="K46" s="55"/>
      <c r="L46" s="54" t="s">
        <v>25</v>
      </c>
      <c r="M46" s="55"/>
      <c r="N46" s="55"/>
    </row>
    <row r="47" spans="1:17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</row>
    <row r="48" spans="1:17" x14ac:dyDescent="0.25">
      <c r="A48" s="55" t="s">
        <v>26</v>
      </c>
      <c r="B48" s="55"/>
      <c r="C48" s="55" t="s">
        <v>29</v>
      </c>
      <c r="D48" s="56">
        <f>(1.5*1.5)*(32.2)/(500)*(1000)</f>
        <v>144.9</v>
      </c>
      <c r="E48" s="55"/>
      <c r="F48" s="55" t="s">
        <v>30</v>
      </c>
      <c r="G48" s="57">
        <f>(1.5*2.5)*(32.2)/(500)*(1000)</f>
        <v>241.50000000000003</v>
      </c>
      <c r="H48" s="58"/>
      <c r="I48" s="55" t="s">
        <v>29</v>
      </c>
      <c r="J48" s="56">
        <f>(1.5*1.5)*(32.2)/(500)*(1000)</f>
        <v>144.9</v>
      </c>
      <c r="K48" s="55"/>
      <c r="L48" s="55" t="s">
        <v>30</v>
      </c>
      <c r="M48" s="56">
        <f>(1.5*2.5)*(32.2)/(500)*(1000)</f>
        <v>241.50000000000003</v>
      </c>
      <c r="N48" s="55"/>
    </row>
    <row r="49" spans="1:14" x14ac:dyDescent="0.25">
      <c r="A49" s="55" t="s">
        <v>31</v>
      </c>
      <c r="B49" s="55"/>
      <c r="C49" s="55" t="s">
        <v>32</v>
      </c>
      <c r="D49" s="56">
        <f>(2*1.5)*(32.2)/(1000)*(1000)</f>
        <v>96.600000000000009</v>
      </c>
      <c r="E49" s="55"/>
      <c r="F49" s="55" t="s">
        <v>33</v>
      </c>
      <c r="G49" s="56">
        <f>(2*2.5)*(32.2)/(1000)*(1000)</f>
        <v>161</v>
      </c>
      <c r="H49" s="55"/>
      <c r="I49" s="55" t="s">
        <v>81</v>
      </c>
      <c r="J49" s="56">
        <f>(2.5*1.5)*(32.2)/(1000)*(1000)</f>
        <v>120.75000000000001</v>
      </c>
      <c r="K49" s="55"/>
      <c r="L49" s="55" t="s">
        <v>82</v>
      </c>
      <c r="M49" s="56">
        <f>(2.5*2.5)*(32.2)/(1000)*(1000)</f>
        <v>201.25000000000003</v>
      </c>
      <c r="N49" s="55"/>
    </row>
    <row r="50" spans="1:14" x14ac:dyDescent="0.25">
      <c r="A50" s="55" t="s">
        <v>34</v>
      </c>
      <c r="B50" s="55"/>
      <c r="C50" s="55" t="s">
        <v>43</v>
      </c>
      <c r="D50" s="56">
        <f>(1*1.5)*(32.2)/(700)*(1000)</f>
        <v>69</v>
      </c>
      <c r="E50" s="55"/>
      <c r="F50" s="55" t="s">
        <v>44</v>
      </c>
      <c r="G50" s="56">
        <f>(1*2.5)*(32.2)/(700)*(1000)</f>
        <v>115</v>
      </c>
      <c r="H50" s="55"/>
      <c r="I50" s="55" t="s">
        <v>37</v>
      </c>
      <c r="J50" s="56">
        <f>(1*1.5)*(32.2)/(600)*(1000)</f>
        <v>80.5</v>
      </c>
      <c r="K50" s="55"/>
      <c r="L50" s="55" t="s">
        <v>38</v>
      </c>
      <c r="M50" s="56">
        <f>(1*2.5)*(32.2)/(600)*(1000)</f>
        <v>134.16666666666666</v>
      </c>
      <c r="N50" s="55"/>
    </row>
    <row r="51" spans="1:14" x14ac:dyDescent="0.25">
      <c r="A51" s="55" t="s">
        <v>39</v>
      </c>
      <c r="B51" s="55"/>
      <c r="C51" s="55" t="s">
        <v>35</v>
      </c>
      <c r="D51" s="56">
        <f>(1*1.5)*(32.2)/(800)*(1000)</f>
        <v>60.375000000000007</v>
      </c>
      <c r="E51" s="55"/>
      <c r="F51" s="55" t="s">
        <v>36</v>
      </c>
      <c r="G51" s="56">
        <f>(1*2.5)*(32.2)/(800)*(1000)</f>
        <v>100.625</v>
      </c>
      <c r="H51" s="55"/>
      <c r="I51" s="55" t="s">
        <v>43</v>
      </c>
      <c r="J51" s="56">
        <f>(1*1.5)*(32.2)/(700)*(1000)</f>
        <v>69</v>
      </c>
      <c r="K51" s="55"/>
      <c r="L51" s="55" t="s">
        <v>44</v>
      </c>
      <c r="M51" s="56">
        <f>(1*2.5)*(32.2)/(700)*(1000)</f>
        <v>115</v>
      </c>
      <c r="N51" s="55"/>
    </row>
    <row r="52" spans="1:14" x14ac:dyDescent="0.25">
      <c r="A52" s="55" t="s">
        <v>45</v>
      </c>
      <c r="B52" s="55"/>
      <c r="C52" s="55" t="s">
        <v>46</v>
      </c>
      <c r="D52" s="56">
        <f>(1*1.5)*(32.2)/(1100)*(1000)</f>
        <v>43.909090909090914</v>
      </c>
      <c r="E52" s="59" t="s">
        <v>42</v>
      </c>
      <c r="F52" s="55" t="s">
        <v>47</v>
      </c>
      <c r="G52" s="56">
        <f>(1*2.5)*(32.2)/(1100)*(1000)</f>
        <v>73.181818181818187</v>
      </c>
      <c r="H52" s="55"/>
      <c r="I52" s="55" t="s">
        <v>48</v>
      </c>
      <c r="J52" s="56">
        <f>(1*1.5)*(32.2)/(1000)*(1000)</f>
        <v>48.300000000000004</v>
      </c>
      <c r="K52" s="55"/>
      <c r="L52" s="55" t="s">
        <v>49</v>
      </c>
      <c r="M52" s="56">
        <f>(1*2.5)*(32.2)/(1000)*(1000)</f>
        <v>80.5</v>
      </c>
      <c r="N52" s="55"/>
    </row>
    <row r="53" spans="1:14" x14ac:dyDescent="0.25">
      <c r="A53" s="60" t="s">
        <v>83</v>
      </c>
      <c r="B53" s="60"/>
      <c r="C53" s="60"/>
      <c r="D53" s="60"/>
      <c r="E53" s="60"/>
      <c r="F53" s="60"/>
      <c r="G53" s="60"/>
      <c r="H53" s="60"/>
      <c r="I53" s="59"/>
      <c r="J53" s="59"/>
      <c r="K53" s="59"/>
      <c r="L53" s="59"/>
      <c r="M53" s="55"/>
      <c r="N53" s="55"/>
    </row>
    <row r="54" spans="1:14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14" ht="18.75" x14ac:dyDescent="0.3">
      <c r="A55" s="55"/>
      <c r="B55" s="55"/>
      <c r="C55" s="61" t="s">
        <v>18</v>
      </c>
      <c r="D55" s="55"/>
      <c r="E55" s="55"/>
      <c r="F55" s="61" t="s">
        <v>50</v>
      </c>
      <c r="G55" s="55"/>
      <c r="H55" s="55"/>
      <c r="I55" s="61" t="s">
        <v>17</v>
      </c>
      <c r="J55" s="55"/>
      <c r="K55" s="59" t="s">
        <v>84</v>
      </c>
      <c r="L55" s="55"/>
      <c r="M55" s="55"/>
      <c r="N55" s="55"/>
    </row>
    <row r="56" spans="1:14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</row>
    <row r="57" spans="1:14" x14ac:dyDescent="0.25">
      <c r="A57" s="55" t="s">
        <v>26</v>
      </c>
      <c r="B57" s="55"/>
      <c r="C57" s="55" t="s">
        <v>51</v>
      </c>
      <c r="D57" s="56">
        <f>(2.5*3.5)*(32.2)/(500)*(1000)</f>
        <v>563.5</v>
      </c>
      <c r="E57" s="55"/>
      <c r="F57" s="55" t="s">
        <v>52</v>
      </c>
      <c r="G57" s="56">
        <f>(2.5*4.5)*(32.2)/(500)*(1000)</f>
        <v>724.50000000000011</v>
      </c>
      <c r="H57" s="55"/>
      <c r="I57" s="55" t="s">
        <v>53</v>
      </c>
      <c r="J57" s="56">
        <f>(1*3.5)*(32.2)/(500)*(1000)</f>
        <v>225.40000000000003</v>
      </c>
      <c r="K57" s="55"/>
      <c r="L57" s="55"/>
      <c r="M57" s="56"/>
      <c r="N57" s="55"/>
    </row>
    <row r="58" spans="1:14" x14ac:dyDescent="0.25">
      <c r="A58" s="55" t="s">
        <v>31</v>
      </c>
      <c r="B58" s="55"/>
      <c r="C58" s="55" t="s">
        <v>54</v>
      </c>
      <c r="D58" s="56">
        <f>(3*3.5)*(32.2)/(1000)*(1000)</f>
        <v>338.1</v>
      </c>
      <c r="E58" s="59" t="s">
        <v>42</v>
      </c>
      <c r="F58" s="55" t="s">
        <v>55</v>
      </c>
      <c r="G58" s="56">
        <f>(3*4.5)*(32.2)/(1000)*(1000)</f>
        <v>434.70000000000005</v>
      </c>
      <c r="H58" s="55"/>
      <c r="I58" s="55" t="s">
        <v>56</v>
      </c>
      <c r="J58" s="56">
        <f>(1.5*3.5)*(32.2)/(1000)*(1000)</f>
        <v>169.05</v>
      </c>
      <c r="K58" s="55"/>
      <c r="L58" s="55"/>
      <c r="M58" s="56"/>
      <c r="N58" s="55"/>
    </row>
    <row r="59" spans="1:14" x14ac:dyDescent="0.25">
      <c r="A59" s="55" t="s">
        <v>34</v>
      </c>
      <c r="B59" s="55"/>
      <c r="C59" s="55" t="s">
        <v>85</v>
      </c>
      <c r="D59" s="56">
        <f>(1*3.5)*(32.2)/(450)*(1000)</f>
        <v>250.44444444444446</v>
      </c>
      <c r="E59" s="59" t="s">
        <v>58</v>
      </c>
      <c r="F59" s="55" t="s">
        <v>86</v>
      </c>
      <c r="G59" s="56">
        <f>(1*4.5)*(32.2)/(450)*(1000)</f>
        <v>322</v>
      </c>
      <c r="H59" s="55"/>
      <c r="I59" s="55" t="s">
        <v>74</v>
      </c>
      <c r="J59" s="56">
        <f>(1*3.5)*(32.2)/(675)*(1000)</f>
        <v>166.96296296296299</v>
      </c>
      <c r="K59" s="55"/>
      <c r="L59" s="55"/>
      <c r="M59" s="56"/>
      <c r="N59" s="55"/>
    </row>
    <row r="60" spans="1:14" x14ac:dyDescent="0.25">
      <c r="A60" s="55" t="s">
        <v>39</v>
      </c>
      <c r="B60" s="55"/>
      <c r="C60" s="55" t="s">
        <v>87</v>
      </c>
      <c r="D60" s="56">
        <f>(1*3.5)*(32.2)/(550)*(1000)</f>
        <v>204.90909090909093</v>
      </c>
      <c r="E60" s="55"/>
      <c r="F60" s="55" t="s">
        <v>88</v>
      </c>
      <c r="G60" s="56">
        <f>(1*4.5)*(32.2)/(550)*(1000)</f>
        <v>263.45454545454544</v>
      </c>
      <c r="H60" s="62"/>
      <c r="I60" s="55" t="s">
        <v>77</v>
      </c>
      <c r="J60" s="56">
        <f>(1*3.5)*(32.2)/(725)*(1000)</f>
        <v>155.44827586206901</v>
      </c>
      <c r="K60" s="59" t="s">
        <v>89</v>
      </c>
      <c r="L60" s="55"/>
      <c r="M60" s="56"/>
      <c r="N60" s="55"/>
    </row>
    <row r="61" spans="1:14" x14ac:dyDescent="0.25">
      <c r="A61" s="55" t="s">
        <v>45</v>
      </c>
      <c r="B61" s="55"/>
      <c r="C61" s="55" t="s">
        <v>90</v>
      </c>
      <c r="D61" s="56">
        <f>(1*3.5)*(32.2)/(650)*(1000)</f>
        <v>173.38461538461542</v>
      </c>
      <c r="E61" s="63">
        <v>600</v>
      </c>
      <c r="F61" s="55" t="s">
        <v>91</v>
      </c>
      <c r="G61" s="56">
        <f>(1*4.5)*(32.2)/(650)*(1000)</f>
        <v>222.92307692307691</v>
      </c>
      <c r="H61" s="55"/>
      <c r="I61" s="55" t="s">
        <v>92</v>
      </c>
      <c r="J61" s="56">
        <f>(1*3.5)*(32.2)/(775)*(1000)</f>
        <v>145.41935483870969</v>
      </c>
      <c r="K61" s="59" t="s">
        <v>61</v>
      </c>
      <c r="L61" s="59"/>
      <c r="M61" s="56"/>
      <c r="N61" s="55"/>
    </row>
    <row r="65" spans="1:14" ht="18.75" x14ac:dyDescent="0.3">
      <c r="A65" s="64" t="s">
        <v>93</v>
      </c>
      <c r="B65" s="65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6" spans="1:14" x14ac:dyDescent="0.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</row>
    <row r="67" spans="1:14" ht="18.75" x14ac:dyDescent="0.3">
      <c r="A67" s="66"/>
      <c r="B67" s="66"/>
      <c r="C67" s="65" t="s">
        <v>22</v>
      </c>
      <c r="D67" s="66"/>
      <c r="E67" s="66"/>
      <c r="F67" s="65" t="s">
        <v>23</v>
      </c>
      <c r="G67" s="66"/>
      <c r="H67" s="66"/>
      <c r="I67" s="65" t="s">
        <v>24</v>
      </c>
      <c r="J67" s="66"/>
      <c r="K67" s="66"/>
      <c r="L67" s="65" t="s">
        <v>25</v>
      </c>
      <c r="M67" s="66"/>
      <c r="N67" s="66"/>
    </row>
    <row r="68" spans="1:14" x14ac:dyDescent="0.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</row>
    <row r="69" spans="1:14" x14ac:dyDescent="0.25">
      <c r="A69" s="66" t="s">
        <v>26</v>
      </c>
      <c r="B69" s="66"/>
      <c r="C69" s="66" t="s">
        <v>29</v>
      </c>
      <c r="D69" s="67">
        <f>(1.5*1.5)*(32.2)/(500)*(1000)</f>
        <v>144.9</v>
      </c>
      <c r="E69" s="66"/>
      <c r="F69" s="66" t="s">
        <v>30</v>
      </c>
      <c r="G69" s="67">
        <f>(1.5*2.5)*(32.2)/(500)*(1000)</f>
        <v>241.50000000000003</v>
      </c>
      <c r="H69" s="66"/>
      <c r="I69" s="66" t="s">
        <v>29</v>
      </c>
      <c r="J69" s="67">
        <f>(1.5*1.5)*(32.2)/(500)*(1000)</f>
        <v>144.9</v>
      </c>
      <c r="K69" s="66"/>
      <c r="L69" s="66" t="s">
        <v>30</v>
      </c>
      <c r="M69" s="67">
        <f>(1.5*2.5)*(32.2)/(500)*(1000)</f>
        <v>241.50000000000003</v>
      </c>
      <c r="N69" s="66"/>
    </row>
    <row r="70" spans="1:14" x14ac:dyDescent="0.25">
      <c r="A70" s="66" t="s">
        <v>31</v>
      </c>
      <c r="B70" s="66"/>
      <c r="C70" s="66" t="s">
        <v>32</v>
      </c>
      <c r="D70" s="67">
        <f>(2*1.5)*(32.2)/(1000)*(1000)</f>
        <v>96.600000000000009</v>
      </c>
      <c r="E70" s="66"/>
      <c r="F70" s="66" t="s">
        <v>33</v>
      </c>
      <c r="G70" s="67">
        <f>(2*2.5)*(32.2)/(1000)*(1000)</f>
        <v>161</v>
      </c>
      <c r="H70" s="66"/>
      <c r="I70" s="66" t="s">
        <v>81</v>
      </c>
      <c r="J70" s="67">
        <f>(2.5*1.5)*(32.2)/(1000)*(1000)</f>
        <v>120.75000000000001</v>
      </c>
      <c r="K70" s="66"/>
      <c r="L70" s="66" t="s">
        <v>82</v>
      </c>
      <c r="M70" s="67">
        <f>(2.5*2.5)*(32.2)/(1000)*(1000)</f>
        <v>201.25000000000003</v>
      </c>
      <c r="N70" s="66"/>
    </row>
    <row r="71" spans="1:14" x14ac:dyDescent="0.25">
      <c r="A71" s="66" t="s">
        <v>34</v>
      </c>
      <c r="B71" s="66"/>
      <c r="C71" s="66" t="s">
        <v>94</v>
      </c>
      <c r="D71" s="67">
        <f>(1*1.5)*(32.2)/(650)*(1000)</f>
        <v>74.307692307692307</v>
      </c>
      <c r="E71" s="66"/>
      <c r="F71" s="66" t="s">
        <v>95</v>
      </c>
      <c r="G71" s="67">
        <f>(1*2.5)*(32.2)/(650)*(1000)</f>
        <v>123.84615384615384</v>
      </c>
      <c r="H71" s="66"/>
      <c r="I71" s="66" t="s">
        <v>96</v>
      </c>
      <c r="J71" s="67">
        <f>(1*1.5)*(32.2)/(550)*(1000)</f>
        <v>87.818181818181827</v>
      </c>
      <c r="K71" s="66"/>
      <c r="L71" s="66" t="s">
        <v>97</v>
      </c>
      <c r="M71" s="67">
        <f>(1*2.5)*(32.2)/(550)*(1000)</f>
        <v>146.36363636363637</v>
      </c>
      <c r="N71" s="66"/>
    </row>
    <row r="72" spans="1:14" x14ac:dyDescent="0.25">
      <c r="A72" s="66" t="s">
        <v>39</v>
      </c>
      <c r="B72" s="66"/>
      <c r="C72" s="66" t="s">
        <v>98</v>
      </c>
      <c r="D72" s="67">
        <f>(1*1.5)*(32.2)/(750)*(1000)</f>
        <v>64.400000000000006</v>
      </c>
      <c r="E72" s="68">
        <v>1500</v>
      </c>
      <c r="F72" s="66" t="s">
        <v>99</v>
      </c>
      <c r="G72" s="67">
        <f>(1*2.5)*(32.2)/(750)*(1000)</f>
        <v>107.33333333333334</v>
      </c>
      <c r="H72" s="66"/>
      <c r="I72" s="66" t="s">
        <v>94</v>
      </c>
      <c r="J72" s="67">
        <f>(1*1.5)*(32.2)/(650)*(1000)</f>
        <v>74.307692307692307</v>
      </c>
      <c r="K72" s="66"/>
      <c r="L72" s="66" t="s">
        <v>95</v>
      </c>
      <c r="M72" s="67">
        <f>(1*2.5)*(32.2)/(650)*(1000)</f>
        <v>123.84615384615384</v>
      </c>
      <c r="N72" s="66"/>
    </row>
    <row r="73" spans="1:14" x14ac:dyDescent="0.25">
      <c r="A73" s="66" t="s">
        <v>45</v>
      </c>
      <c r="B73" s="66"/>
      <c r="C73" s="66" t="s">
        <v>48</v>
      </c>
      <c r="D73" s="67">
        <f>(1*1.5)*(32.2)/(1000)*(1000)</f>
        <v>48.300000000000004</v>
      </c>
      <c r="E73" s="66"/>
      <c r="F73" s="66" t="s">
        <v>49</v>
      </c>
      <c r="G73" s="67">
        <f>(1*2.5)*(32.2)/(1000)*(1000)</f>
        <v>80.5</v>
      </c>
      <c r="H73" s="66"/>
      <c r="I73" s="66" t="s">
        <v>40</v>
      </c>
      <c r="J73" s="67">
        <f>(1*1.5)*(32.2)/(900)*(1000)</f>
        <v>53.666666666666671</v>
      </c>
      <c r="K73" s="66"/>
      <c r="L73" s="66" t="s">
        <v>99</v>
      </c>
      <c r="M73" s="67">
        <f>(1*2.5)*(32.2)/(750)*(1000)</f>
        <v>107.33333333333334</v>
      </c>
      <c r="N73" s="66"/>
    </row>
    <row r="74" spans="1:14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</row>
    <row r="75" spans="1:14" x14ac:dyDescent="0.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</row>
    <row r="76" spans="1:14" ht="18.75" x14ac:dyDescent="0.3">
      <c r="A76" s="66"/>
      <c r="B76" s="66"/>
      <c r="C76" s="69" t="s">
        <v>18</v>
      </c>
      <c r="D76" s="66"/>
      <c r="E76" s="66"/>
      <c r="F76" s="69" t="s">
        <v>50</v>
      </c>
      <c r="G76" s="66"/>
      <c r="H76" s="66"/>
      <c r="I76" s="69" t="s">
        <v>17</v>
      </c>
      <c r="J76" s="66"/>
      <c r="K76" s="66"/>
      <c r="L76" s="70" t="s">
        <v>100</v>
      </c>
      <c r="M76" s="66"/>
      <c r="N76" s="66"/>
    </row>
    <row r="77" spans="1:14" x14ac:dyDescent="0.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</row>
    <row r="78" spans="1:14" x14ac:dyDescent="0.25">
      <c r="A78" s="66" t="s">
        <v>26</v>
      </c>
      <c r="B78" s="66"/>
      <c r="C78" s="66" t="s">
        <v>51</v>
      </c>
      <c r="D78" s="67">
        <f>(2.5*3.5)*(32.2)/(500)*(1000)</f>
        <v>563.5</v>
      </c>
      <c r="E78" s="66"/>
      <c r="F78" s="66" t="s">
        <v>52</v>
      </c>
      <c r="G78" s="67">
        <f>(2.5*4.5)*(32.2)/(500)*(1000)</f>
        <v>724.50000000000011</v>
      </c>
      <c r="H78" s="66"/>
      <c r="I78" s="66" t="s">
        <v>56</v>
      </c>
      <c r="J78" s="67">
        <f>(1.5*3.5)*(32.2)/(500)*(1000)</f>
        <v>338.1</v>
      </c>
      <c r="K78" s="66"/>
      <c r="L78" s="66"/>
      <c r="M78" s="66"/>
      <c r="N78" s="66"/>
    </row>
    <row r="79" spans="1:14" x14ac:dyDescent="0.25">
      <c r="A79" s="66" t="s">
        <v>31</v>
      </c>
      <c r="B79" s="66"/>
      <c r="C79" s="66" t="s">
        <v>54</v>
      </c>
      <c r="D79" s="67">
        <f>(3*3.5)*(32.2)/(1000)*(1000)</f>
        <v>338.1</v>
      </c>
      <c r="E79" s="71"/>
      <c r="F79" s="66" t="s">
        <v>55</v>
      </c>
      <c r="G79" s="67">
        <f>(3*4.5)*(32.2)/(1000)*(1000)</f>
        <v>434.70000000000005</v>
      </c>
      <c r="H79" s="66"/>
      <c r="I79" s="66" t="s">
        <v>101</v>
      </c>
      <c r="J79" s="67">
        <f>(2*3.5)*(32.2)/(1000)*(1000)</f>
        <v>225.40000000000003</v>
      </c>
      <c r="K79" s="66"/>
      <c r="L79" s="66"/>
      <c r="M79" s="66"/>
      <c r="N79" s="66"/>
    </row>
    <row r="80" spans="1:14" x14ac:dyDescent="0.25">
      <c r="A80" s="66" t="s">
        <v>34</v>
      </c>
      <c r="B80" s="66"/>
      <c r="C80" s="66" t="s">
        <v>102</v>
      </c>
      <c r="D80" s="67">
        <f>(1*3.5)*(32.2)/(425)*(1000)</f>
        <v>265.17647058823536</v>
      </c>
      <c r="E80" s="68"/>
      <c r="F80" s="66" t="s">
        <v>103</v>
      </c>
      <c r="G80" s="67">
        <f>(1*4.5)*(32.2)/(425)*(1000)</f>
        <v>340.94117647058823</v>
      </c>
      <c r="H80" s="66"/>
      <c r="I80" s="66" t="s">
        <v>87</v>
      </c>
      <c r="J80" s="67">
        <f>(1*3.5)*(32.2)/(550)*(1000)</f>
        <v>204.90909090909093</v>
      </c>
      <c r="K80" s="66"/>
      <c r="L80" s="66"/>
      <c r="M80" s="66"/>
      <c r="N80" s="66"/>
    </row>
    <row r="81" spans="1:14" x14ac:dyDescent="0.25">
      <c r="A81" s="66" t="s">
        <v>39</v>
      </c>
      <c r="B81" s="66"/>
      <c r="C81" s="66" t="s">
        <v>104</v>
      </c>
      <c r="D81" s="67">
        <f>(1*3.5)*(32.2)/(525)*(1000)</f>
        <v>214.66666666666671</v>
      </c>
      <c r="E81" s="68"/>
      <c r="F81" s="66" t="s">
        <v>105</v>
      </c>
      <c r="G81" s="67">
        <f>(1*4.5)*(32.2)/(525)*(1000)</f>
        <v>276</v>
      </c>
      <c r="H81" s="66"/>
      <c r="I81" s="66" t="s">
        <v>57</v>
      </c>
      <c r="J81" s="67">
        <f>(1*3.5)*(32.2)/(600)*(1000)</f>
        <v>187.83333333333334</v>
      </c>
      <c r="K81" s="70" t="s">
        <v>42</v>
      </c>
      <c r="L81" s="66"/>
      <c r="M81" s="66"/>
      <c r="N81" s="66"/>
    </row>
    <row r="82" spans="1:14" x14ac:dyDescent="0.25">
      <c r="A82" s="66" t="s">
        <v>45</v>
      </c>
      <c r="B82" s="66"/>
      <c r="C82" s="66" t="s">
        <v>106</v>
      </c>
      <c r="D82" s="67">
        <f>(1*3.5)*(32.2)/(625)*(1000)</f>
        <v>180.32000000000005</v>
      </c>
      <c r="E82" s="66"/>
      <c r="F82" s="66" t="s">
        <v>107</v>
      </c>
      <c r="G82" s="67">
        <f>(1*4.5)*(32.2)/(625)*(1000)</f>
        <v>231.84000000000003</v>
      </c>
      <c r="H82" s="66"/>
      <c r="I82" s="66" t="s">
        <v>90</v>
      </c>
      <c r="J82" s="67">
        <f>(1*3.5)*(32.2)/(650)*(1000)</f>
        <v>173.38461538461542</v>
      </c>
      <c r="K82" s="70" t="s">
        <v>42</v>
      </c>
      <c r="L82" s="66"/>
      <c r="M82" s="66"/>
      <c r="N82" s="66"/>
    </row>
    <row r="86" spans="1:14" ht="18.75" x14ac:dyDescent="0.3">
      <c r="A86" s="72" t="s">
        <v>108</v>
      </c>
      <c r="B86" s="73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</row>
    <row r="87" spans="1:14" x14ac:dyDescent="0.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</row>
    <row r="88" spans="1:14" ht="18.75" x14ac:dyDescent="0.3">
      <c r="A88" s="74"/>
      <c r="B88" s="74"/>
      <c r="C88" s="73" t="s">
        <v>22</v>
      </c>
      <c r="D88" s="74"/>
      <c r="E88" s="74"/>
      <c r="F88" s="73" t="s">
        <v>23</v>
      </c>
      <c r="G88" s="74"/>
      <c r="H88" s="74"/>
      <c r="I88" s="73" t="s">
        <v>24</v>
      </c>
      <c r="J88" s="74"/>
      <c r="K88" s="74"/>
      <c r="L88" s="73" t="s">
        <v>25</v>
      </c>
      <c r="M88" s="74"/>
      <c r="N88" s="74"/>
    </row>
    <row r="89" spans="1:14" x14ac:dyDescent="0.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</row>
    <row r="90" spans="1:14" x14ac:dyDescent="0.25">
      <c r="A90" s="74" t="s">
        <v>26</v>
      </c>
      <c r="B90" s="74"/>
      <c r="C90" s="74" t="s">
        <v>32</v>
      </c>
      <c r="D90" s="75">
        <f>(2*1.5)*(32.2)/(500)*(1000)</f>
        <v>193.20000000000002</v>
      </c>
      <c r="E90" s="74"/>
      <c r="F90" s="74" t="s">
        <v>33</v>
      </c>
      <c r="G90" s="75">
        <f>(2*2.5)*(32.2)/(500)*(1000)</f>
        <v>322</v>
      </c>
      <c r="H90" s="74"/>
      <c r="I90" s="74" t="s">
        <v>32</v>
      </c>
      <c r="J90" s="75">
        <f>(2*1.5)*(32.2)/(500)*(1000)</f>
        <v>193.20000000000002</v>
      </c>
      <c r="K90" s="74"/>
      <c r="L90" s="74" t="s">
        <v>33</v>
      </c>
      <c r="M90" s="75">
        <f>(2*2.5)*(32.2)/(500)*(1000)</f>
        <v>322</v>
      </c>
      <c r="N90" s="74"/>
    </row>
    <row r="91" spans="1:14" x14ac:dyDescent="0.25">
      <c r="A91" s="74" t="s">
        <v>31</v>
      </c>
      <c r="B91" s="74"/>
      <c r="C91" s="74" t="s">
        <v>81</v>
      </c>
      <c r="D91" s="75">
        <f>(2.5*1.5)*(32.2)/(1000)*(1000)</f>
        <v>120.75000000000001</v>
      </c>
      <c r="E91" s="74"/>
      <c r="F91" s="74" t="s">
        <v>82</v>
      </c>
      <c r="G91" s="75">
        <f>(2.5*2.5)*(32.2)/(1000)*(1000)</f>
        <v>201.25000000000003</v>
      </c>
      <c r="H91" s="74"/>
      <c r="I91" s="74" t="s">
        <v>109</v>
      </c>
      <c r="J91" s="75">
        <f>(3*1.5)*(32.2)/(1000)*(1000)</f>
        <v>144.9</v>
      </c>
      <c r="K91" s="74"/>
      <c r="L91" s="74" t="s">
        <v>110</v>
      </c>
      <c r="M91" s="75">
        <f>(3*2.5)*(32.2)/(1000)*(1000)</f>
        <v>241.50000000000003</v>
      </c>
      <c r="N91" s="74"/>
    </row>
    <row r="92" spans="1:14" x14ac:dyDescent="0.25">
      <c r="A92" s="74" t="s">
        <v>34</v>
      </c>
      <c r="B92" s="74"/>
      <c r="C92" s="74" t="s">
        <v>37</v>
      </c>
      <c r="D92" s="75">
        <f>(1*1.5)*(32.2)/(600)*(1000)</f>
        <v>80.5</v>
      </c>
      <c r="E92" s="74"/>
      <c r="F92" s="74" t="s">
        <v>38</v>
      </c>
      <c r="G92" s="75">
        <f>(1*2.5)*(32.2)/(600)*(1000)</f>
        <v>134.16666666666666</v>
      </c>
      <c r="H92" s="74"/>
      <c r="I92" s="74" t="s">
        <v>111</v>
      </c>
      <c r="J92" s="75">
        <f>(1*1.5)*(32.2)/(500)*(1000)</f>
        <v>96.600000000000009</v>
      </c>
      <c r="K92" s="74"/>
      <c r="L92" s="74" t="s">
        <v>112</v>
      </c>
      <c r="M92" s="75">
        <f>(1*2.5)*(32.2)/(500)*(1000)</f>
        <v>161</v>
      </c>
      <c r="N92" s="74"/>
    </row>
    <row r="93" spans="1:14" x14ac:dyDescent="0.25">
      <c r="A93" s="74" t="s">
        <v>39</v>
      </c>
      <c r="B93" s="74"/>
      <c r="C93" s="74" t="s">
        <v>43</v>
      </c>
      <c r="D93" s="75">
        <f>(1*1.5)*(32.2)/(700)*(1000)</f>
        <v>69</v>
      </c>
      <c r="E93" s="74"/>
      <c r="F93" s="74" t="s">
        <v>44</v>
      </c>
      <c r="G93" s="75">
        <f>(1*2.5)*(32.2)/(700)*(1000)</f>
        <v>115</v>
      </c>
      <c r="H93" s="74"/>
      <c r="I93" s="74" t="s">
        <v>37</v>
      </c>
      <c r="J93" s="75">
        <f>(1*1.5)*(32.2)/(600)*(1000)</f>
        <v>80.5</v>
      </c>
      <c r="K93" s="74"/>
      <c r="L93" s="74" t="s">
        <v>38</v>
      </c>
      <c r="M93" s="75">
        <f>(1*2.5)*(32.2)/(600)*(1000)</f>
        <v>134.16666666666666</v>
      </c>
      <c r="N93" s="74"/>
    </row>
    <row r="94" spans="1:14" x14ac:dyDescent="0.25">
      <c r="A94" s="74" t="s">
        <v>45</v>
      </c>
      <c r="B94" s="74"/>
      <c r="C94" s="74" t="s">
        <v>40</v>
      </c>
      <c r="D94" s="75">
        <f>(1*1.5)*(32.2)/(900)*(1000)</f>
        <v>53.666666666666671</v>
      </c>
      <c r="E94" s="74"/>
      <c r="F94" s="74" t="s">
        <v>41</v>
      </c>
      <c r="G94" s="75">
        <f>(1*2.5)*(32.2)/(900)*(1000)</f>
        <v>89.444444444444443</v>
      </c>
      <c r="H94" s="74"/>
      <c r="I94" s="74" t="s">
        <v>35</v>
      </c>
      <c r="J94" s="75">
        <f>(1*1.5)*(32.2)/(800)*(1000)</f>
        <v>60.375000000000007</v>
      </c>
      <c r="K94" s="74"/>
      <c r="L94" s="74" t="s">
        <v>36</v>
      </c>
      <c r="M94" s="75">
        <f>(1*2.5)*(32.2)/(800)*(1000)</f>
        <v>100.625</v>
      </c>
      <c r="N94" s="74"/>
    </row>
    <row r="95" spans="1:14" x14ac:dyDescent="0.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</row>
    <row r="96" spans="1:14" x14ac:dyDescent="0.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</row>
    <row r="97" spans="1:14" ht="18.75" x14ac:dyDescent="0.3">
      <c r="A97" s="74"/>
      <c r="B97" s="74"/>
      <c r="C97" s="76" t="s">
        <v>18</v>
      </c>
      <c r="D97" s="74"/>
      <c r="E97" s="74"/>
      <c r="F97" s="76" t="s">
        <v>50</v>
      </c>
      <c r="G97" s="74"/>
      <c r="H97" s="74"/>
      <c r="I97" s="76" t="s">
        <v>17</v>
      </c>
      <c r="J97" s="74"/>
      <c r="K97" s="74"/>
      <c r="L97" s="74"/>
      <c r="M97" s="74"/>
      <c r="N97" s="74"/>
    </row>
    <row r="98" spans="1:14" x14ac:dyDescent="0.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</row>
    <row r="99" spans="1:14" x14ac:dyDescent="0.25">
      <c r="A99" s="74" t="s">
        <v>26</v>
      </c>
      <c r="B99" s="74"/>
      <c r="C99" s="74" t="s">
        <v>51</v>
      </c>
      <c r="D99" s="75">
        <f>(2.5*3.5)*(32.2)/(500)*(1000)</f>
        <v>563.5</v>
      </c>
      <c r="E99" s="74"/>
      <c r="F99" s="74" t="s">
        <v>52</v>
      </c>
      <c r="G99" s="75">
        <f>(2.5*4.5)*(32.2)/(500)*(1000)</f>
        <v>724.50000000000011</v>
      </c>
      <c r="H99" s="74"/>
      <c r="I99" s="74" t="s">
        <v>56</v>
      </c>
      <c r="J99" s="75">
        <f>(1.5*3.5)*(32.2)/(500)*(1000)</f>
        <v>338.1</v>
      </c>
      <c r="K99" s="74"/>
      <c r="L99" s="74"/>
      <c r="M99" s="74"/>
      <c r="N99" s="74"/>
    </row>
    <row r="100" spans="1:14" x14ac:dyDescent="0.25">
      <c r="A100" s="74" t="s">
        <v>31</v>
      </c>
      <c r="B100" s="74"/>
      <c r="C100" s="74" t="s">
        <v>54</v>
      </c>
      <c r="D100" s="75">
        <f>(3*3.5)*(32.2)/(1000)*(1000)</f>
        <v>338.1</v>
      </c>
      <c r="E100" s="74"/>
      <c r="F100" s="74" t="s">
        <v>55</v>
      </c>
      <c r="G100" s="75">
        <f>(3*4.5)*(32.2)/(1000)*(1000)</f>
        <v>434.70000000000005</v>
      </c>
      <c r="H100" s="74"/>
      <c r="I100" s="74" t="s">
        <v>51</v>
      </c>
      <c r="J100" s="75">
        <f>(2.5*3.5)*(32.2)/(1000)*(1000)</f>
        <v>281.75</v>
      </c>
      <c r="K100" s="74"/>
      <c r="L100" s="74"/>
      <c r="M100" s="74"/>
      <c r="N100" s="74"/>
    </row>
    <row r="101" spans="1:14" x14ac:dyDescent="0.25">
      <c r="A101" s="74" t="s">
        <v>34</v>
      </c>
      <c r="B101" s="74"/>
      <c r="C101" s="74" t="s">
        <v>113</v>
      </c>
      <c r="D101" s="75">
        <f>(1*3.5)*(32.2)/(400)*(1000)</f>
        <v>281.75000000000006</v>
      </c>
      <c r="E101" s="74"/>
      <c r="F101" s="74" t="s">
        <v>114</v>
      </c>
      <c r="G101" s="75">
        <f>(1*4.5)*(32.2)/(400)*(1000)</f>
        <v>362.25</v>
      </c>
      <c r="H101" s="74"/>
      <c r="I101" s="74" t="s">
        <v>87</v>
      </c>
      <c r="J101" s="75">
        <f>(1*3.5)*(32.2)/(550)*(1000)</f>
        <v>204.90909090909093</v>
      </c>
      <c r="K101" s="74"/>
      <c r="L101" s="74"/>
      <c r="M101" s="74"/>
      <c r="N101" s="74"/>
    </row>
    <row r="102" spans="1:14" x14ac:dyDescent="0.25">
      <c r="A102" s="74" t="s">
        <v>39</v>
      </c>
      <c r="B102" s="74"/>
      <c r="C102" s="74" t="s">
        <v>102</v>
      </c>
      <c r="D102" s="75">
        <f>(1*3.5)*(32.2)/(425)*(1000)</f>
        <v>265.17647058823536</v>
      </c>
      <c r="E102" s="74"/>
      <c r="F102" s="74" t="s">
        <v>103</v>
      </c>
      <c r="G102" s="75">
        <f>(1*4.5)*(32.2)/(425)*(1000)</f>
        <v>340.94117647058823</v>
      </c>
      <c r="H102" s="74"/>
      <c r="I102" s="74" t="s">
        <v>57</v>
      </c>
      <c r="J102" s="75">
        <f>(1*3.5)*(32.2)/(600)*(1000)</f>
        <v>187.83333333333334</v>
      </c>
      <c r="K102" s="74"/>
      <c r="L102" s="74"/>
      <c r="M102" s="74"/>
      <c r="N102" s="74"/>
    </row>
    <row r="103" spans="1:14" x14ac:dyDescent="0.25">
      <c r="A103" s="74" t="s">
        <v>45</v>
      </c>
      <c r="B103" s="74"/>
      <c r="C103" s="74" t="s">
        <v>85</v>
      </c>
      <c r="D103" s="75">
        <f>(1*3.5)*(32.2)/(450)*(1000)</f>
        <v>250.44444444444446</v>
      </c>
      <c r="E103" s="74"/>
      <c r="F103" s="74" t="s">
        <v>86</v>
      </c>
      <c r="G103" s="75">
        <f>(1*4.5)*(32.2)/(450)*(1000)</f>
        <v>322</v>
      </c>
      <c r="H103" s="74"/>
      <c r="I103" s="74" t="s">
        <v>90</v>
      </c>
      <c r="J103" s="75">
        <f>(1*3.5)*(32.2)/(650)*(1000)</f>
        <v>173.38461538461542</v>
      </c>
      <c r="K103" s="74"/>
      <c r="L103" s="74"/>
      <c r="M103" s="74"/>
      <c r="N103" s="74"/>
    </row>
    <row r="107" spans="1:14" ht="18.75" x14ac:dyDescent="0.3">
      <c r="A107" s="77" t="s">
        <v>115</v>
      </c>
      <c r="B107" s="78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</row>
    <row r="108" spans="1:14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</row>
    <row r="109" spans="1:14" ht="18.75" x14ac:dyDescent="0.3">
      <c r="A109" s="79"/>
      <c r="B109" s="79"/>
      <c r="C109" s="78" t="s">
        <v>22</v>
      </c>
      <c r="D109" s="79"/>
      <c r="E109" s="79"/>
      <c r="F109" s="78" t="s">
        <v>23</v>
      </c>
      <c r="G109" s="79"/>
      <c r="H109" s="79"/>
      <c r="I109" s="78" t="s">
        <v>24</v>
      </c>
      <c r="J109" s="79"/>
      <c r="K109" s="79"/>
      <c r="L109" s="78" t="s">
        <v>25</v>
      </c>
      <c r="M109" s="79"/>
      <c r="N109" s="79"/>
    </row>
    <row r="110" spans="1:14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</row>
    <row r="111" spans="1:14" x14ac:dyDescent="0.25">
      <c r="A111" s="79" t="s">
        <v>26</v>
      </c>
      <c r="B111" s="79"/>
      <c r="C111" s="79" t="s">
        <v>32</v>
      </c>
      <c r="D111" s="80">
        <f>(2*1.5)*(32.2)/(500)*(1000)</f>
        <v>193.20000000000002</v>
      </c>
      <c r="E111" s="79"/>
      <c r="F111" s="79" t="s">
        <v>33</v>
      </c>
      <c r="G111" s="80">
        <f>(2*2.5)*(32.2)/(500)*(1000)</f>
        <v>322</v>
      </c>
      <c r="H111" s="79"/>
      <c r="I111" s="79" t="s">
        <v>32</v>
      </c>
      <c r="J111" s="80">
        <f>(2*1.5)*(32.2)/(500)*(1000)</f>
        <v>193.20000000000002</v>
      </c>
      <c r="K111" s="79"/>
      <c r="L111" s="79" t="s">
        <v>33</v>
      </c>
      <c r="M111" s="80">
        <f>(2*2.5)*(32.2)/(500)*(1000)</f>
        <v>322</v>
      </c>
      <c r="N111" s="79"/>
    </row>
    <row r="112" spans="1:14" x14ac:dyDescent="0.25">
      <c r="A112" s="79" t="s">
        <v>31</v>
      </c>
      <c r="B112" s="79"/>
      <c r="C112" s="79" t="s">
        <v>109</v>
      </c>
      <c r="D112" s="80">
        <f>(3*1.5)*(32.2)/(1000)*(1000)</f>
        <v>144.9</v>
      </c>
      <c r="E112" s="79"/>
      <c r="F112" s="79" t="s">
        <v>110</v>
      </c>
      <c r="G112" s="80">
        <f>(3*2.5)*(32.2)/(1000)*(1000)</f>
        <v>241.50000000000003</v>
      </c>
      <c r="H112" s="79"/>
      <c r="I112" s="79" t="s">
        <v>116</v>
      </c>
      <c r="J112" s="80">
        <f>(3.5*1.5)*(32.2)/(1000)*(1000)</f>
        <v>169.05</v>
      </c>
      <c r="K112" s="79"/>
      <c r="L112" s="79" t="s">
        <v>117</v>
      </c>
      <c r="M112" s="80">
        <f>(3.5*2.5)*(32.2)/(1000)*(1000)</f>
        <v>281.75</v>
      </c>
      <c r="N112" s="79"/>
    </row>
    <row r="113" spans="1:14" x14ac:dyDescent="0.25">
      <c r="A113" s="79" t="s">
        <v>34</v>
      </c>
      <c r="B113" s="79"/>
      <c r="C113" s="79" t="s">
        <v>96</v>
      </c>
      <c r="D113" s="80">
        <f>(1*1.5)*(32.2)/(550)*(1000)</f>
        <v>87.818181818181827</v>
      </c>
      <c r="E113" s="79"/>
      <c r="F113" s="79" t="s">
        <v>97</v>
      </c>
      <c r="G113" s="80">
        <f>(1*2.5)*(32.2)/(550)*(1000)</f>
        <v>146.36363636363637</v>
      </c>
      <c r="H113" s="79"/>
      <c r="I113" s="79" t="s">
        <v>118</v>
      </c>
      <c r="J113" s="80">
        <f>(1*1.5)*(32.2)/(450)*(1000)</f>
        <v>107.33333333333334</v>
      </c>
      <c r="K113" s="79"/>
      <c r="L113" s="79" t="s">
        <v>119</v>
      </c>
      <c r="M113" s="80">
        <f>(1*2.5)*(32.2)/(450)*(1000)</f>
        <v>178.88888888888889</v>
      </c>
      <c r="N113" s="79"/>
    </row>
    <row r="114" spans="1:14" x14ac:dyDescent="0.25">
      <c r="A114" s="79" t="s">
        <v>39</v>
      </c>
      <c r="B114" s="79"/>
      <c r="C114" s="79" t="s">
        <v>94</v>
      </c>
      <c r="D114" s="80">
        <f>(1*1.5)*(32.2)/(650)*(1000)</f>
        <v>74.307692307692307</v>
      </c>
      <c r="E114" s="79"/>
      <c r="F114" s="79" t="s">
        <v>95</v>
      </c>
      <c r="G114" s="80">
        <f>(1*2.5)*(32.2)/(650)*(1000)</f>
        <v>123.84615384615384</v>
      </c>
      <c r="H114" s="79"/>
      <c r="I114" s="79" t="s">
        <v>96</v>
      </c>
      <c r="J114" s="80">
        <f>(1*1.5)*(32.2)/(550)*(1000)</f>
        <v>87.818181818181827</v>
      </c>
      <c r="K114" s="79"/>
      <c r="L114" s="79" t="s">
        <v>97</v>
      </c>
      <c r="M114" s="80">
        <f>(1*2.5)*(32.2)/(550)*(1000)</f>
        <v>146.36363636363637</v>
      </c>
      <c r="N114" s="79"/>
    </row>
    <row r="115" spans="1:14" x14ac:dyDescent="0.25">
      <c r="A115" s="79" t="s">
        <v>45</v>
      </c>
      <c r="B115" s="79"/>
      <c r="C115" s="79" t="s">
        <v>35</v>
      </c>
      <c r="D115" s="80">
        <f>(1*1.5)*(32.2)/(800)*(1000)</f>
        <v>60.375000000000007</v>
      </c>
      <c r="E115" s="79"/>
      <c r="F115" s="79" t="s">
        <v>36</v>
      </c>
      <c r="G115" s="80">
        <f>(1*2.5)*(32.2)/(800)*(1000)</f>
        <v>100.625</v>
      </c>
      <c r="H115" s="79"/>
      <c r="I115" s="79" t="s">
        <v>43</v>
      </c>
      <c r="J115" s="80">
        <f>(1*1.5)*(32.2)/(700)*(1000)</f>
        <v>69</v>
      </c>
      <c r="K115" s="79"/>
      <c r="L115" s="79" t="s">
        <v>44</v>
      </c>
      <c r="M115" s="80">
        <f>(1*2.5)*(32.2)/(700)*(1000)</f>
        <v>115</v>
      </c>
      <c r="N115" s="79"/>
    </row>
    <row r="116" spans="1:14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</row>
    <row r="117" spans="1:14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</row>
    <row r="118" spans="1:14" ht="18.75" x14ac:dyDescent="0.3">
      <c r="A118" s="79"/>
      <c r="B118" s="79"/>
      <c r="C118" s="81" t="s">
        <v>18</v>
      </c>
      <c r="D118" s="79"/>
      <c r="E118" s="79"/>
      <c r="F118" s="81" t="s">
        <v>50</v>
      </c>
      <c r="G118" s="79"/>
      <c r="H118" s="79"/>
      <c r="I118" s="81" t="s">
        <v>17</v>
      </c>
      <c r="J118" s="79"/>
      <c r="K118" s="79"/>
      <c r="L118" s="79"/>
      <c r="M118" s="79"/>
      <c r="N118" s="79"/>
    </row>
    <row r="119" spans="1:14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</row>
    <row r="120" spans="1:14" x14ac:dyDescent="0.25">
      <c r="A120" s="79" t="s">
        <v>26</v>
      </c>
      <c r="B120" s="79"/>
      <c r="C120" s="79" t="s">
        <v>51</v>
      </c>
      <c r="D120" s="80">
        <f>(2.5*3.5)*(32.2)/(500)*(1000)</f>
        <v>563.5</v>
      </c>
      <c r="E120" s="79"/>
      <c r="F120" s="79" t="s">
        <v>52</v>
      </c>
      <c r="G120" s="80">
        <f>(2.5*4.5)*(32.2)/(500)*(1000)</f>
        <v>724.50000000000011</v>
      </c>
      <c r="H120" s="79"/>
      <c r="I120" s="79" t="s">
        <v>101</v>
      </c>
      <c r="J120" s="80">
        <f>(2*3.5)*(32.2)/(500)*(1000)</f>
        <v>450.80000000000007</v>
      </c>
      <c r="K120" s="79"/>
      <c r="L120" s="79"/>
      <c r="M120" s="79"/>
      <c r="N120" s="79"/>
    </row>
    <row r="121" spans="1:14" x14ac:dyDescent="0.25">
      <c r="A121" s="79" t="s">
        <v>31</v>
      </c>
      <c r="B121" s="79"/>
      <c r="C121" s="79" t="s">
        <v>54</v>
      </c>
      <c r="D121" s="80">
        <f>(3*3.5)*(32.2)/(1000)*(1000)</f>
        <v>338.1</v>
      </c>
      <c r="E121" s="82"/>
      <c r="F121" s="79" t="s">
        <v>55</v>
      </c>
      <c r="G121" s="80">
        <f>(3*4.5)*(32.2)/(1000)*(1000)</f>
        <v>434.70000000000005</v>
      </c>
      <c r="H121" s="79"/>
      <c r="I121" s="79" t="s">
        <v>51</v>
      </c>
      <c r="J121" s="80">
        <f>(2.5*3.5)*(32.2)/(1000)*(1000)</f>
        <v>281.75</v>
      </c>
      <c r="K121" s="79"/>
      <c r="L121" s="79"/>
      <c r="M121" s="79"/>
      <c r="N121" s="79"/>
    </row>
    <row r="122" spans="1:14" x14ac:dyDescent="0.25">
      <c r="A122" s="79" t="s">
        <v>34</v>
      </c>
      <c r="B122" s="79"/>
      <c r="C122" s="79" t="s">
        <v>120</v>
      </c>
      <c r="D122" s="80">
        <f>(1*3.5)*(32.2)/(375)*(1000)</f>
        <v>300.53333333333336</v>
      </c>
      <c r="E122" s="82"/>
      <c r="F122" s="79" t="s">
        <v>121</v>
      </c>
      <c r="G122" s="80">
        <f>(1*4.5)*(32.2)/(375)*(1000)</f>
        <v>386.40000000000003</v>
      </c>
      <c r="H122" s="79"/>
      <c r="I122" s="79" t="s">
        <v>85</v>
      </c>
      <c r="J122" s="80">
        <f>(1*3.5)*(32.2)/(450)*(1000)</f>
        <v>250.44444444444446</v>
      </c>
      <c r="K122" s="79"/>
      <c r="L122" s="79"/>
      <c r="M122" s="79"/>
      <c r="N122" s="79"/>
    </row>
    <row r="123" spans="1:14" x14ac:dyDescent="0.25">
      <c r="A123" s="79" t="s">
        <v>39</v>
      </c>
      <c r="B123" s="79"/>
      <c r="C123" s="79" t="s">
        <v>113</v>
      </c>
      <c r="D123" s="80">
        <f>(1*3.5)*(32.2)/(400)*(1000)</f>
        <v>281.75000000000006</v>
      </c>
      <c r="E123" s="82"/>
      <c r="F123" s="79" t="s">
        <v>114</v>
      </c>
      <c r="G123" s="80">
        <f>(1*4.5)*(32.2)/(400)*(1000)</f>
        <v>362.25</v>
      </c>
      <c r="H123" s="79"/>
      <c r="I123" s="79" t="s">
        <v>71</v>
      </c>
      <c r="J123" s="80">
        <f>(1*3.5)*(32.2)/(500)*(1000)</f>
        <v>225.40000000000003</v>
      </c>
      <c r="K123" s="79"/>
      <c r="L123" s="79"/>
      <c r="M123" s="79"/>
      <c r="N123" s="79"/>
    </row>
    <row r="124" spans="1:14" x14ac:dyDescent="0.25">
      <c r="A124" s="79" t="s">
        <v>45</v>
      </c>
      <c r="B124" s="79"/>
      <c r="C124" s="79" t="s">
        <v>102</v>
      </c>
      <c r="D124" s="80">
        <f>(1*3.5)*(32.2)/(425)*(1000)</f>
        <v>265.17647058823536</v>
      </c>
      <c r="E124" s="82"/>
      <c r="F124" s="79" t="s">
        <v>103</v>
      </c>
      <c r="G124" s="80">
        <f>(1*4.5)*(32.2)/(425)*(1000)</f>
        <v>340.94117647058823</v>
      </c>
      <c r="H124" s="79"/>
      <c r="I124" s="79" t="s">
        <v>87</v>
      </c>
      <c r="J124" s="80">
        <f>(1*3.5)*(32.2)/(550)*(1000)</f>
        <v>204.90909090909093</v>
      </c>
      <c r="K124" s="79"/>
      <c r="L124" s="79"/>
      <c r="M124" s="79"/>
      <c r="N124" s="79"/>
    </row>
    <row r="125" spans="1:14" x14ac:dyDescent="0.25">
      <c r="E125" s="27"/>
    </row>
    <row r="130" spans="1:14" ht="33.75" x14ac:dyDescent="0.5">
      <c r="E130" s="31" t="s">
        <v>122</v>
      </c>
    </row>
    <row r="131" spans="1:14" ht="18.75" x14ac:dyDescent="0.3">
      <c r="A131" s="64" t="s">
        <v>123</v>
      </c>
      <c r="B131" s="65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</row>
    <row r="132" spans="1:14" x14ac:dyDescent="0.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</row>
    <row r="133" spans="1:14" ht="18.75" x14ac:dyDescent="0.3">
      <c r="A133" s="66"/>
      <c r="B133" s="66"/>
      <c r="C133" s="65" t="s">
        <v>22</v>
      </c>
      <c r="D133" s="66"/>
      <c r="E133" s="66"/>
      <c r="F133" s="65" t="s">
        <v>23</v>
      </c>
      <c r="G133" s="66"/>
      <c r="H133" s="66"/>
      <c r="I133" s="65"/>
      <c r="J133" s="66"/>
      <c r="K133" s="66"/>
      <c r="L133" s="65"/>
      <c r="M133" s="66"/>
      <c r="N133" s="66"/>
    </row>
    <row r="134" spans="1:14" x14ac:dyDescent="0.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</row>
    <row r="135" spans="1:14" x14ac:dyDescent="0.25">
      <c r="A135" s="66" t="s">
        <v>26</v>
      </c>
      <c r="B135" s="66"/>
      <c r="C135" s="66" t="s">
        <v>29</v>
      </c>
      <c r="D135" s="67">
        <f>(1.5*1.5)*(32.2)/(500)*(1000)</f>
        <v>144.9</v>
      </c>
      <c r="E135" s="66"/>
      <c r="F135" s="66" t="s">
        <v>30</v>
      </c>
      <c r="G135" s="67">
        <f>(1.5*2.5)*(32.2)/(500)*(1000)</f>
        <v>241.50000000000003</v>
      </c>
      <c r="H135" s="66"/>
      <c r="I135" s="66"/>
      <c r="J135" s="67"/>
      <c r="K135" s="66"/>
      <c r="L135" s="66"/>
      <c r="M135" s="67"/>
      <c r="N135" s="66"/>
    </row>
    <row r="136" spans="1:14" x14ac:dyDescent="0.25">
      <c r="A136" s="66" t="s">
        <v>31</v>
      </c>
      <c r="B136" s="66"/>
      <c r="C136" s="66" t="s">
        <v>32</v>
      </c>
      <c r="D136" s="67">
        <f>(2*1.5)*(32.2)/(1000)*(1000)</f>
        <v>96.600000000000009</v>
      </c>
      <c r="E136" s="66"/>
      <c r="F136" s="66" t="s">
        <v>33</v>
      </c>
      <c r="G136" s="67">
        <f>(2*2.5)*(32.2)/(1000)*(1000)</f>
        <v>161</v>
      </c>
      <c r="H136" s="66"/>
      <c r="I136" s="66"/>
      <c r="J136" s="67"/>
      <c r="K136" s="66"/>
      <c r="L136" s="66"/>
      <c r="M136" s="67"/>
      <c r="N136" s="66"/>
    </row>
    <row r="137" spans="1:14" x14ac:dyDescent="0.25">
      <c r="A137" s="66" t="s">
        <v>34</v>
      </c>
      <c r="B137" s="66"/>
      <c r="C137" s="66" t="s">
        <v>94</v>
      </c>
      <c r="D137" s="67">
        <f>(1*1.5)*(32.2)/(650)*(1000)</f>
        <v>74.307692307692307</v>
      </c>
      <c r="E137" s="66"/>
      <c r="F137" s="66" t="s">
        <v>95</v>
      </c>
      <c r="G137" s="67">
        <f>(1*2.5)*(32.2)/(650)*(1000)</f>
        <v>123.84615384615384</v>
      </c>
      <c r="H137" s="66"/>
      <c r="I137" s="66"/>
      <c r="J137" s="67"/>
      <c r="K137" s="66"/>
      <c r="L137" s="66"/>
      <c r="M137" s="67"/>
      <c r="N137" s="66"/>
    </row>
    <row r="138" spans="1:14" x14ac:dyDescent="0.25">
      <c r="A138" s="66" t="s">
        <v>39</v>
      </c>
      <c r="B138" s="66"/>
      <c r="C138" s="66" t="s">
        <v>98</v>
      </c>
      <c r="D138" s="67">
        <f>(1*1.5)*(32.2)/(750)*(1000)</f>
        <v>64.400000000000006</v>
      </c>
      <c r="E138" s="66"/>
      <c r="F138" s="66" t="s">
        <v>99</v>
      </c>
      <c r="G138" s="67">
        <f>(1*2.5)*(32.2)/(750)*(1000)</f>
        <v>107.33333333333334</v>
      </c>
      <c r="H138" s="66"/>
      <c r="I138" s="66"/>
      <c r="J138" s="67"/>
      <c r="K138" s="66"/>
      <c r="L138" s="66"/>
      <c r="M138" s="67"/>
      <c r="N138" s="66"/>
    </row>
    <row r="139" spans="1:14" x14ac:dyDescent="0.25">
      <c r="A139" s="66" t="s">
        <v>45</v>
      </c>
      <c r="B139" s="66"/>
      <c r="C139" s="66" t="s">
        <v>35</v>
      </c>
      <c r="D139" s="67">
        <f>(1*1.5)*(32.2)/(800)*(1000)</f>
        <v>60.375000000000007</v>
      </c>
      <c r="E139" s="66"/>
      <c r="F139" s="66" t="s">
        <v>36</v>
      </c>
      <c r="G139" s="67">
        <f>(1*2.5)*(32.2)/(800)*(1000)</f>
        <v>100.625</v>
      </c>
      <c r="H139" s="66"/>
      <c r="I139" s="66"/>
      <c r="J139" s="67"/>
      <c r="K139" s="66"/>
      <c r="L139" s="66"/>
      <c r="M139" s="67"/>
      <c r="N139" s="66"/>
    </row>
    <row r="140" spans="1:14" x14ac:dyDescent="0.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</row>
    <row r="141" spans="1:14" x14ac:dyDescent="0.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</row>
    <row r="142" spans="1:14" ht="18.75" x14ac:dyDescent="0.3">
      <c r="A142" s="66"/>
      <c r="B142" s="66"/>
      <c r="C142" s="69" t="s">
        <v>18</v>
      </c>
      <c r="D142" s="66"/>
      <c r="E142" s="66"/>
      <c r="F142" s="69" t="s">
        <v>50</v>
      </c>
      <c r="G142" s="66"/>
      <c r="H142" s="66"/>
      <c r="I142" s="69" t="s">
        <v>17</v>
      </c>
      <c r="J142" s="66"/>
      <c r="K142" s="66"/>
      <c r="L142" s="66"/>
      <c r="M142" s="66"/>
      <c r="N142" s="66"/>
    </row>
    <row r="143" spans="1:14" x14ac:dyDescent="0.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</row>
    <row r="144" spans="1:14" x14ac:dyDescent="0.25">
      <c r="A144" s="66" t="s">
        <v>26</v>
      </c>
      <c r="B144" s="66"/>
      <c r="C144" s="66" t="s">
        <v>51</v>
      </c>
      <c r="D144" s="67">
        <f>(2.5*3.5)*(32.2)/(500)*(1000)</f>
        <v>563.5</v>
      </c>
      <c r="E144" s="66"/>
      <c r="F144" s="66" t="s">
        <v>52</v>
      </c>
      <c r="G144" s="67">
        <f>(2.5*4.5)*(32.2)/(500)*(1000)</f>
        <v>724.50000000000011</v>
      </c>
      <c r="H144" s="66"/>
      <c r="I144" s="66" t="s">
        <v>56</v>
      </c>
      <c r="J144" s="67">
        <f>(1.5*3.5)*(32.2)/(500)*(1000)</f>
        <v>338.1</v>
      </c>
      <c r="K144" s="66"/>
      <c r="L144" s="66"/>
      <c r="M144" s="66"/>
      <c r="N144" s="66"/>
    </row>
    <row r="145" spans="1:14" x14ac:dyDescent="0.25">
      <c r="A145" s="66" t="s">
        <v>31</v>
      </c>
      <c r="B145" s="66"/>
      <c r="C145" s="66" t="s">
        <v>54</v>
      </c>
      <c r="D145" s="67">
        <f>(3*3.5)*(32.2)/(1000)*(1000)</f>
        <v>338.1</v>
      </c>
      <c r="E145" s="71"/>
      <c r="F145" s="66" t="s">
        <v>55</v>
      </c>
      <c r="G145" s="67">
        <f>(3*4.5)*(32.2)/(1000)*(1000)</f>
        <v>434.70000000000005</v>
      </c>
      <c r="H145" s="66"/>
      <c r="I145" s="66" t="s">
        <v>101</v>
      </c>
      <c r="J145" s="67">
        <f>(2*3.5)*(32.2)/(1000)*(1000)</f>
        <v>225.40000000000003</v>
      </c>
      <c r="K145" s="66"/>
      <c r="L145" s="66"/>
      <c r="M145" s="66"/>
      <c r="N145" s="66"/>
    </row>
    <row r="146" spans="1:14" x14ac:dyDescent="0.25">
      <c r="A146" s="66" t="s">
        <v>34</v>
      </c>
      <c r="B146" s="66"/>
      <c r="C146" s="66" t="s">
        <v>113</v>
      </c>
      <c r="D146" s="67">
        <f>(1*3.5)*(32.2)/(400)*(1000)</f>
        <v>281.75000000000006</v>
      </c>
      <c r="E146" s="66"/>
      <c r="F146" s="66" t="s">
        <v>114</v>
      </c>
      <c r="G146" s="67">
        <f>(1*4.5)*(32.2)/(400)*(1000)</f>
        <v>362.25</v>
      </c>
      <c r="H146" s="66"/>
      <c r="I146" s="66" t="s">
        <v>87</v>
      </c>
      <c r="J146" s="67">
        <f>(1*3.5)*(32.2)/(550)*(1000)</f>
        <v>204.90909090909093</v>
      </c>
      <c r="K146" s="66"/>
      <c r="L146" s="66"/>
      <c r="M146" s="66"/>
      <c r="N146" s="66"/>
    </row>
    <row r="147" spans="1:14" x14ac:dyDescent="0.25">
      <c r="A147" s="66" t="s">
        <v>39</v>
      </c>
      <c r="B147" s="66"/>
      <c r="C147" s="66" t="s">
        <v>71</v>
      </c>
      <c r="D147" s="67">
        <f>(1*3.5)*(32.2)/(500)*(1000)</f>
        <v>225.40000000000003</v>
      </c>
      <c r="E147" s="83"/>
      <c r="F147" s="66" t="s">
        <v>73</v>
      </c>
      <c r="G147" s="67">
        <f>(1*4.5)*(32.2)/(500)*(1000)</f>
        <v>289.8</v>
      </c>
      <c r="H147" s="66"/>
      <c r="I147" s="66" t="s">
        <v>57</v>
      </c>
      <c r="J147" s="67">
        <f>(1*3.5)*(32.2)/(600)*(1000)</f>
        <v>187.83333333333334</v>
      </c>
      <c r="K147" s="66"/>
      <c r="L147" s="66"/>
      <c r="M147" s="66"/>
      <c r="N147" s="66"/>
    </row>
    <row r="148" spans="1:14" x14ac:dyDescent="0.25">
      <c r="A148" s="66" t="s">
        <v>45</v>
      </c>
      <c r="B148" s="66"/>
      <c r="C148" s="66" t="s">
        <v>87</v>
      </c>
      <c r="D148" s="67">
        <f>(1*3.5)*(32.2)/(550)*(1000)</f>
        <v>204.90909090909093</v>
      </c>
      <c r="E148" s="66"/>
      <c r="F148" s="66" t="s">
        <v>88</v>
      </c>
      <c r="G148" s="67">
        <f>(1*4.5)*(32.2)/(550)*(1000)</f>
        <v>263.45454545454544</v>
      </c>
      <c r="H148" s="66"/>
      <c r="I148" s="66" t="s">
        <v>90</v>
      </c>
      <c r="J148" s="67">
        <f>(1*3.5)*(32.2)/(650)*(1000)</f>
        <v>173.38461538461542</v>
      </c>
      <c r="K148" s="66"/>
      <c r="L148" s="66"/>
      <c r="M148" s="66"/>
      <c r="N148" s="66"/>
    </row>
    <row r="152" spans="1:14" ht="18.75" x14ac:dyDescent="0.3">
      <c r="A152" s="72" t="s">
        <v>124</v>
      </c>
      <c r="B152" s="73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</row>
    <row r="153" spans="1:14" x14ac:dyDescent="0.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</row>
    <row r="154" spans="1:14" ht="18.75" x14ac:dyDescent="0.3">
      <c r="A154" s="74"/>
      <c r="B154" s="74"/>
      <c r="C154" s="73" t="s">
        <v>22</v>
      </c>
      <c r="D154" s="74"/>
      <c r="E154" s="74"/>
      <c r="F154" s="73" t="s">
        <v>23</v>
      </c>
      <c r="G154" s="74"/>
      <c r="H154" s="74"/>
      <c r="I154" s="73"/>
      <c r="J154" s="74"/>
      <c r="K154" s="74"/>
      <c r="L154" s="73"/>
      <c r="M154" s="74"/>
      <c r="N154" s="74"/>
    </row>
    <row r="155" spans="1:14" x14ac:dyDescent="0.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</row>
    <row r="156" spans="1:14" x14ac:dyDescent="0.25">
      <c r="A156" s="74" t="s">
        <v>26</v>
      </c>
      <c r="B156" s="74"/>
      <c r="C156" s="74" t="s">
        <v>32</v>
      </c>
      <c r="D156" s="75">
        <f>(2*1.5)*(32.2)/(500)*(1000)</f>
        <v>193.20000000000002</v>
      </c>
      <c r="E156" s="74"/>
      <c r="F156" s="74" t="s">
        <v>33</v>
      </c>
      <c r="G156" s="75">
        <f>(2*2.5)*(32.2)/(500)*(1000)</f>
        <v>322</v>
      </c>
      <c r="H156" s="74"/>
      <c r="I156" s="74"/>
      <c r="J156" s="75"/>
      <c r="K156" s="74"/>
      <c r="L156" s="74"/>
      <c r="M156" s="75"/>
      <c r="N156" s="74"/>
    </row>
    <row r="157" spans="1:14" x14ac:dyDescent="0.25">
      <c r="A157" s="74" t="s">
        <v>31</v>
      </c>
      <c r="B157" s="74"/>
      <c r="C157" s="74" t="s">
        <v>81</v>
      </c>
      <c r="D157" s="75">
        <f>(2.5*1.5)*(32.2)/(1000)*(1000)</f>
        <v>120.75000000000001</v>
      </c>
      <c r="E157" s="74"/>
      <c r="F157" s="74" t="s">
        <v>82</v>
      </c>
      <c r="G157" s="75">
        <f>(2.5*2.5)*(32.2)/(1000)*(1000)</f>
        <v>201.25000000000003</v>
      </c>
      <c r="H157" s="74"/>
      <c r="I157" s="74"/>
      <c r="J157" s="75"/>
      <c r="K157" s="74"/>
      <c r="L157" s="74"/>
      <c r="M157" s="75"/>
      <c r="N157" s="74"/>
    </row>
    <row r="158" spans="1:14" x14ac:dyDescent="0.25">
      <c r="A158" s="74" t="s">
        <v>34</v>
      </c>
      <c r="B158" s="74"/>
      <c r="C158" s="74" t="s">
        <v>111</v>
      </c>
      <c r="D158" s="75">
        <f>(1*1.5)*(32.2)/(500)*(1000)</f>
        <v>96.600000000000009</v>
      </c>
      <c r="E158" s="74"/>
      <c r="F158" s="74" t="s">
        <v>112</v>
      </c>
      <c r="G158" s="75">
        <f>(1*2.5)*(32.2)/(500)*(1000)</f>
        <v>161</v>
      </c>
      <c r="H158" s="74"/>
      <c r="I158" s="74"/>
      <c r="J158" s="75"/>
      <c r="K158" s="74"/>
      <c r="L158" s="74"/>
      <c r="M158" s="75"/>
      <c r="N158" s="74"/>
    </row>
    <row r="159" spans="1:14" x14ac:dyDescent="0.25">
      <c r="A159" s="74" t="s">
        <v>39</v>
      </c>
      <c r="B159" s="74"/>
      <c r="C159" s="74" t="s">
        <v>37</v>
      </c>
      <c r="D159" s="75">
        <f>(1*1.5)*(32.2)/(600)*(1000)</f>
        <v>80.5</v>
      </c>
      <c r="E159" s="74"/>
      <c r="F159" s="74" t="s">
        <v>38</v>
      </c>
      <c r="G159" s="75">
        <f>(1*2.5)*(32.2)/(600)*(1000)</f>
        <v>134.16666666666666</v>
      </c>
      <c r="H159" s="74"/>
      <c r="I159" s="74"/>
      <c r="J159" s="75"/>
      <c r="K159" s="74"/>
      <c r="L159" s="74"/>
      <c r="M159" s="75"/>
      <c r="N159" s="74"/>
    </row>
    <row r="160" spans="1:14" x14ac:dyDescent="0.25">
      <c r="A160" s="74" t="s">
        <v>45</v>
      </c>
      <c r="B160" s="74"/>
      <c r="C160" s="74" t="s">
        <v>94</v>
      </c>
      <c r="D160" s="75">
        <f>(1*1.5)*(32.2)/(650)*(1000)</f>
        <v>74.307692307692307</v>
      </c>
      <c r="E160" s="74"/>
      <c r="F160" s="74" t="s">
        <v>95</v>
      </c>
      <c r="G160" s="75">
        <f>(1*2.5)*(32.2)/(650)*(1000)</f>
        <v>123.84615384615384</v>
      </c>
      <c r="H160" s="74"/>
      <c r="I160" s="74"/>
      <c r="J160" s="75"/>
      <c r="K160" s="74"/>
      <c r="L160" s="74"/>
      <c r="M160" s="75"/>
      <c r="N160" s="74"/>
    </row>
    <row r="161" spans="1:14" x14ac:dyDescent="0.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</row>
    <row r="162" spans="1:14" x14ac:dyDescent="0.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</row>
    <row r="163" spans="1:14" ht="18.75" x14ac:dyDescent="0.3">
      <c r="A163" s="74"/>
      <c r="B163" s="74"/>
      <c r="C163" s="76" t="s">
        <v>18</v>
      </c>
      <c r="D163" s="74"/>
      <c r="E163" s="74"/>
      <c r="F163" s="76" t="s">
        <v>50</v>
      </c>
      <c r="G163" s="74"/>
      <c r="H163" s="74"/>
      <c r="I163" s="76" t="s">
        <v>17</v>
      </c>
      <c r="J163" s="74"/>
      <c r="K163" s="74"/>
      <c r="L163" s="74"/>
      <c r="M163" s="74"/>
      <c r="N163" s="74"/>
    </row>
    <row r="164" spans="1:14" x14ac:dyDescent="0.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</row>
    <row r="165" spans="1:14" x14ac:dyDescent="0.25">
      <c r="A165" s="74" t="s">
        <v>26</v>
      </c>
      <c r="B165" s="74"/>
      <c r="C165" s="74" t="s">
        <v>51</v>
      </c>
      <c r="D165" s="75">
        <f>(2.5*3.5)*(32.2)/(500)*(1000)</f>
        <v>563.5</v>
      </c>
      <c r="E165" s="74"/>
      <c r="F165" s="74" t="s">
        <v>52</v>
      </c>
      <c r="G165" s="75">
        <f>(2.5*4.5)*(32.2)/(500)*(1000)</f>
        <v>724.50000000000011</v>
      </c>
      <c r="H165" s="74"/>
      <c r="I165" s="74" t="s">
        <v>56</v>
      </c>
      <c r="J165" s="75">
        <f>(1.5*3.5)*(32.2)/(500)*(1000)</f>
        <v>338.1</v>
      </c>
      <c r="K165" s="74"/>
      <c r="L165" s="74"/>
      <c r="M165" s="74"/>
      <c r="N165" s="74"/>
    </row>
    <row r="166" spans="1:14" x14ac:dyDescent="0.25">
      <c r="A166" s="74" t="s">
        <v>31</v>
      </c>
      <c r="B166" s="74"/>
      <c r="C166" s="74" t="s">
        <v>125</v>
      </c>
      <c r="D166" s="75">
        <f>(3.5*3.5)*(32.2)/(1000)*(1000)</f>
        <v>394.45000000000005</v>
      </c>
      <c r="E166" s="74"/>
      <c r="F166" s="74" t="s">
        <v>126</v>
      </c>
      <c r="G166" s="75">
        <f>(3.5*4.5)*(32.2)/(1000)*(1000)</f>
        <v>507.15</v>
      </c>
      <c r="H166" s="74"/>
      <c r="I166" s="74" t="s">
        <v>51</v>
      </c>
      <c r="J166" s="75">
        <f>(2.5*3.5)*(32.2)/(1000)*(1000)</f>
        <v>281.75</v>
      </c>
      <c r="K166" s="74"/>
      <c r="L166" s="74"/>
      <c r="M166" s="74"/>
      <c r="N166" s="74"/>
    </row>
    <row r="167" spans="1:14" x14ac:dyDescent="0.25">
      <c r="A167" s="74" t="s">
        <v>34</v>
      </c>
      <c r="B167" s="74"/>
      <c r="C167" s="74" t="s">
        <v>120</v>
      </c>
      <c r="D167" s="75">
        <f>(1*3.5)*(32.2)/(375)*(1000)</f>
        <v>300.53333333333336</v>
      </c>
      <c r="E167" s="74"/>
      <c r="F167" s="74" t="s">
        <v>121</v>
      </c>
      <c r="G167" s="75">
        <f>(1*4.5)*(32.2)/(375)*(1000)</f>
        <v>386.40000000000003</v>
      </c>
      <c r="H167" s="74"/>
      <c r="I167" s="74" t="s">
        <v>87</v>
      </c>
      <c r="J167" s="75">
        <f>(1*3.5)*(32.2)/(550)*(1000)</f>
        <v>204.90909090909093</v>
      </c>
      <c r="K167" s="74"/>
      <c r="L167" s="74"/>
      <c r="M167" s="74"/>
      <c r="N167" s="74"/>
    </row>
    <row r="168" spans="1:14" x14ac:dyDescent="0.25">
      <c r="A168" s="74" t="s">
        <v>39</v>
      </c>
      <c r="B168" s="74"/>
      <c r="C168" s="74" t="s">
        <v>113</v>
      </c>
      <c r="D168" s="75">
        <f>(1*3.5)*(32.2)/(400)*(1000)</f>
        <v>281.75000000000006</v>
      </c>
      <c r="E168" s="74"/>
      <c r="F168" s="74" t="s">
        <v>114</v>
      </c>
      <c r="G168" s="75">
        <f>(1*4.5)*(32.2)/(400)*(1000)</f>
        <v>362.25</v>
      </c>
      <c r="H168" s="74"/>
      <c r="I168" s="74" t="s">
        <v>57</v>
      </c>
      <c r="J168" s="75">
        <f>(1*3.5)*(32.2)/(600)*(1000)</f>
        <v>187.83333333333334</v>
      </c>
      <c r="K168" s="74"/>
      <c r="L168" s="74"/>
      <c r="M168" s="74"/>
      <c r="N168" s="74"/>
    </row>
    <row r="169" spans="1:14" x14ac:dyDescent="0.25">
      <c r="A169" s="74" t="s">
        <v>45</v>
      </c>
      <c r="B169" s="74"/>
      <c r="C169" s="74" t="s">
        <v>102</v>
      </c>
      <c r="D169" s="75">
        <f>(1*3.5)*(32.2)/(425)*(1000)</f>
        <v>265.17647058823536</v>
      </c>
      <c r="E169" s="74"/>
      <c r="F169" s="74" t="s">
        <v>103</v>
      </c>
      <c r="G169" s="75">
        <f>(1*4.5)*(32.2)/(425)*(1000)</f>
        <v>340.94117647058823</v>
      </c>
      <c r="H169" s="74"/>
      <c r="I169" s="74" t="s">
        <v>90</v>
      </c>
      <c r="J169" s="75">
        <f>(1*3.5)*(32.2)/(650)*(1000)</f>
        <v>173.38461538461542</v>
      </c>
      <c r="K169" s="74"/>
      <c r="L169" s="74"/>
      <c r="M169" s="74"/>
      <c r="N169" s="74"/>
    </row>
    <row r="173" spans="1:14" ht="18.75" x14ac:dyDescent="0.3">
      <c r="A173" s="77" t="s">
        <v>127</v>
      </c>
      <c r="B173" s="78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</row>
    <row r="174" spans="1:14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</row>
    <row r="175" spans="1:14" ht="18.75" x14ac:dyDescent="0.3">
      <c r="A175" s="79"/>
      <c r="B175" s="79"/>
      <c r="C175" s="78" t="s">
        <v>22</v>
      </c>
      <c r="D175" s="79"/>
      <c r="E175" s="79"/>
      <c r="F175" s="78" t="s">
        <v>23</v>
      </c>
      <c r="G175" s="79"/>
      <c r="H175" s="79"/>
      <c r="I175" s="78"/>
      <c r="J175" s="79"/>
      <c r="K175" s="79"/>
      <c r="L175" s="78"/>
      <c r="M175" s="79"/>
      <c r="N175" s="79"/>
    </row>
    <row r="176" spans="1:14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</row>
    <row r="177" spans="1:14" x14ac:dyDescent="0.25">
      <c r="A177" s="79" t="s">
        <v>26</v>
      </c>
      <c r="B177" s="79"/>
      <c r="C177" s="79" t="s">
        <v>32</v>
      </c>
      <c r="D177" s="80">
        <f>(2*1.5)*(32.2)/(500)*(1000)</f>
        <v>193.20000000000002</v>
      </c>
      <c r="E177" s="79"/>
      <c r="F177" s="79" t="s">
        <v>33</v>
      </c>
      <c r="G177" s="80">
        <f>(2*2.5)*(32.2)/(500)*(1000)</f>
        <v>322</v>
      </c>
      <c r="H177" s="79"/>
      <c r="I177" s="79"/>
      <c r="J177" s="80"/>
      <c r="K177" s="79"/>
      <c r="L177" s="79"/>
      <c r="M177" s="80"/>
      <c r="N177" s="79"/>
    </row>
    <row r="178" spans="1:14" x14ac:dyDescent="0.25">
      <c r="A178" s="79" t="s">
        <v>31</v>
      </c>
      <c r="B178" s="79"/>
      <c r="C178" s="79" t="s">
        <v>109</v>
      </c>
      <c r="D178" s="80">
        <f>(3*1.5)*(32.2)/(1000)*(1000)</f>
        <v>144.9</v>
      </c>
      <c r="E178" s="79"/>
      <c r="F178" s="79" t="s">
        <v>110</v>
      </c>
      <c r="G178" s="80">
        <f>(3*2.5)*(32.2)/(1000)*(1000)</f>
        <v>241.50000000000003</v>
      </c>
      <c r="H178" s="79"/>
      <c r="I178" s="79"/>
      <c r="J178" s="80"/>
      <c r="K178" s="79"/>
      <c r="L178" s="79"/>
      <c r="M178" s="80"/>
      <c r="N178" s="79"/>
    </row>
    <row r="179" spans="1:14" x14ac:dyDescent="0.25">
      <c r="A179" s="79" t="s">
        <v>34</v>
      </c>
      <c r="B179" s="79"/>
      <c r="C179" s="79" t="s">
        <v>128</v>
      </c>
      <c r="D179" s="80">
        <f>(1*1.5)*(32.2)/(400)*(1000)</f>
        <v>120.75000000000001</v>
      </c>
      <c r="E179" s="79"/>
      <c r="F179" s="79" t="s">
        <v>129</v>
      </c>
      <c r="G179" s="80">
        <f>(1*2.5)*(32.2)/(400)*(1000)</f>
        <v>201.25</v>
      </c>
      <c r="H179" s="79"/>
      <c r="I179" s="79"/>
      <c r="J179" s="80"/>
      <c r="K179" s="79"/>
      <c r="L179" s="79"/>
      <c r="M179" s="80"/>
      <c r="N179" s="79"/>
    </row>
    <row r="180" spans="1:14" x14ac:dyDescent="0.25">
      <c r="A180" s="79" t="s">
        <v>39</v>
      </c>
      <c r="B180" s="79"/>
      <c r="C180" s="79" t="s">
        <v>111</v>
      </c>
      <c r="D180" s="80">
        <f>(1*1.5)*(32.2)/(500)*(1000)</f>
        <v>96.600000000000009</v>
      </c>
      <c r="E180" s="79"/>
      <c r="F180" s="79" t="s">
        <v>112</v>
      </c>
      <c r="G180" s="80">
        <f>(1*2.5)*(32.2)/(500)*(1000)</f>
        <v>161</v>
      </c>
      <c r="H180" s="79"/>
      <c r="I180" s="79"/>
      <c r="J180" s="80"/>
      <c r="K180" s="79"/>
      <c r="L180" s="79"/>
      <c r="M180" s="80"/>
      <c r="N180" s="79"/>
    </row>
    <row r="181" spans="1:14" x14ac:dyDescent="0.25">
      <c r="A181" s="79" t="s">
        <v>45</v>
      </c>
      <c r="B181" s="79"/>
      <c r="C181" s="79" t="s">
        <v>96</v>
      </c>
      <c r="D181" s="80">
        <f>(1*1.5)*(32.2)/(550)*(1000)</f>
        <v>87.818181818181827</v>
      </c>
      <c r="E181" s="79"/>
      <c r="F181" s="79" t="s">
        <v>97</v>
      </c>
      <c r="G181" s="80">
        <f>(1*2.5)*(32.2)/(550)*(1000)</f>
        <v>146.36363636363637</v>
      </c>
      <c r="H181" s="79"/>
      <c r="I181" s="79"/>
      <c r="J181" s="80"/>
      <c r="K181" s="79"/>
      <c r="L181" s="79"/>
      <c r="M181" s="80"/>
      <c r="N181" s="79"/>
    </row>
    <row r="182" spans="1:14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</row>
    <row r="183" spans="1:14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</row>
    <row r="184" spans="1:14" ht="18.75" x14ac:dyDescent="0.3">
      <c r="A184" s="79"/>
      <c r="B184" s="79"/>
      <c r="C184" s="81" t="s">
        <v>18</v>
      </c>
      <c r="D184" s="79"/>
      <c r="E184" s="79"/>
      <c r="F184" s="81" t="s">
        <v>50</v>
      </c>
      <c r="G184" s="79"/>
      <c r="H184" s="79"/>
      <c r="I184" s="81" t="s">
        <v>17</v>
      </c>
      <c r="J184" s="79"/>
      <c r="K184" s="79"/>
      <c r="L184" s="79"/>
      <c r="M184" s="79"/>
      <c r="N184" s="79"/>
    </row>
    <row r="185" spans="1:14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</row>
    <row r="186" spans="1:14" x14ac:dyDescent="0.25">
      <c r="A186" s="79" t="s">
        <v>26</v>
      </c>
      <c r="B186" s="79"/>
      <c r="C186" s="79" t="s">
        <v>51</v>
      </c>
      <c r="D186" s="80">
        <f>(2.5*3.5)*(32.2)/(500)*(1000)</f>
        <v>563.5</v>
      </c>
      <c r="E186" s="79"/>
      <c r="F186" s="79" t="s">
        <v>55</v>
      </c>
      <c r="G186" s="80">
        <f>(3*4.5)*(32.2)/(500)*(1000)</f>
        <v>869.40000000000009</v>
      </c>
      <c r="H186" s="79"/>
      <c r="I186" s="79" t="s">
        <v>101</v>
      </c>
      <c r="J186" s="80">
        <f>(2*3.5)*(32.2)/(500)*(1000)</f>
        <v>450.80000000000007</v>
      </c>
      <c r="K186" s="79"/>
      <c r="L186" s="79"/>
      <c r="M186" s="79"/>
      <c r="N186" s="79"/>
    </row>
    <row r="187" spans="1:14" x14ac:dyDescent="0.25">
      <c r="A187" s="79" t="s">
        <v>31</v>
      </c>
      <c r="B187" s="79"/>
      <c r="C187" s="79" t="s">
        <v>130</v>
      </c>
      <c r="D187" s="80">
        <f>(5.5*2.5)*(32.2)/(1000)*(1000)</f>
        <v>442.75000000000006</v>
      </c>
      <c r="E187" s="79"/>
      <c r="F187" s="79" t="s">
        <v>131</v>
      </c>
      <c r="G187" s="80">
        <f>(5.5*3.5)*(32.2)/(1000)*(1000)</f>
        <v>619.85</v>
      </c>
      <c r="H187" s="79"/>
      <c r="I187" s="79" t="s">
        <v>54</v>
      </c>
      <c r="J187" s="80">
        <f>(3*3.5)*(32.2)/(1000)*(1000)</f>
        <v>338.1</v>
      </c>
      <c r="K187" s="79"/>
      <c r="L187" s="79"/>
      <c r="M187" s="79"/>
      <c r="N187" s="79"/>
    </row>
    <row r="188" spans="1:14" x14ac:dyDescent="0.25">
      <c r="A188" s="79" t="s">
        <v>34</v>
      </c>
      <c r="B188" s="79"/>
      <c r="C188" s="79" t="s">
        <v>132</v>
      </c>
      <c r="D188" s="80">
        <f>(1*2.5)*(32.2)/(200)*(1000)</f>
        <v>402.5</v>
      </c>
      <c r="E188" s="79"/>
      <c r="F188" s="79" t="s">
        <v>133</v>
      </c>
      <c r="G188" s="80">
        <f>(1*3.5)*(32.2)/(200)*(1000)</f>
        <v>563.50000000000011</v>
      </c>
      <c r="H188" s="79"/>
      <c r="I188" s="79" t="s">
        <v>134</v>
      </c>
      <c r="J188" s="80">
        <f>(1*3.5)*(32.2)/(350)*(1000)</f>
        <v>322.00000000000006</v>
      </c>
      <c r="K188" s="79"/>
      <c r="L188" s="79"/>
      <c r="M188" s="79"/>
      <c r="N188" s="79"/>
    </row>
    <row r="189" spans="1:14" x14ac:dyDescent="0.25">
      <c r="A189" s="79" t="s">
        <v>39</v>
      </c>
      <c r="B189" s="79"/>
      <c r="C189" s="79" t="s">
        <v>135</v>
      </c>
      <c r="D189" s="80">
        <f>(1*2.5)*(32.2)/(250)*(1000)</f>
        <v>322</v>
      </c>
      <c r="E189" s="79"/>
      <c r="F189" s="79" t="s">
        <v>136</v>
      </c>
      <c r="G189" s="80">
        <f>(1*3.5)*(32.2)/(250)*(1000)</f>
        <v>450.80000000000007</v>
      </c>
      <c r="H189" s="79"/>
      <c r="I189" s="79" t="s">
        <v>113</v>
      </c>
      <c r="J189" s="80">
        <f>(1*3.5)*(32.2)/(400)*(1000)</f>
        <v>281.75000000000006</v>
      </c>
      <c r="K189" s="79"/>
      <c r="L189" s="79"/>
      <c r="M189" s="79"/>
      <c r="N189" s="79"/>
    </row>
    <row r="190" spans="1:14" x14ac:dyDescent="0.25">
      <c r="A190" s="79" t="s">
        <v>45</v>
      </c>
      <c r="B190" s="79"/>
      <c r="C190" s="79" t="s">
        <v>137</v>
      </c>
      <c r="D190" s="80">
        <f>(1*2.5)*(32.2)/(300)*(1000)</f>
        <v>268.33333333333331</v>
      </c>
      <c r="E190" s="79"/>
      <c r="F190" s="79" t="s">
        <v>138</v>
      </c>
      <c r="G190" s="80">
        <f>(1*3.5)*(32.2)/(300)*(1000)</f>
        <v>375.66666666666669</v>
      </c>
      <c r="H190" s="79"/>
      <c r="I190" s="79" t="s">
        <v>85</v>
      </c>
      <c r="J190" s="80">
        <f>(1*3.5)*(32.2)/(450)*(1000)</f>
        <v>250.44444444444446</v>
      </c>
      <c r="K190" s="79"/>
      <c r="L190" s="79"/>
      <c r="M190" s="79"/>
      <c r="N190" s="79"/>
    </row>
    <row r="196" spans="1:14" ht="33.75" x14ac:dyDescent="0.5">
      <c r="D196" s="31" t="s">
        <v>139</v>
      </c>
    </row>
    <row r="197" spans="1:14" ht="18.75" x14ac:dyDescent="0.3">
      <c r="A197" s="33" t="s">
        <v>140</v>
      </c>
      <c r="B197" s="34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</row>
    <row r="198" spans="1:14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</row>
    <row r="199" spans="1:14" ht="18.75" x14ac:dyDescent="0.3">
      <c r="A199" s="35"/>
      <c r="B199" s="35"/>
      <c r="C199" s="36" t="s">
        <v>22</v>
      </c>
      <c r="D199" s="35"/>
      <c r="E199" s="35"/>
      <c r="F199" s="36" t="s">
        <v>23</v>
      </c>
      <c r="G199" s="35"/>
      <c r="H199" s="35"/>
      <c r="I199" s="36" t="s">
        <v>24</v>
      </c>
      <c r="J199" s="35"/>
      <c r="K199" s="35"/>
      <c r="L199" s="36" t="s">
        <v>25</v>
      </c>
      <c r="M199" s="35"/>
      <c r="N199" s="35"/>
    </row>
    <row r="200" spans="1:14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</row>
    <row r="201" spans="1:14" x14ac:dyDescent="0.25">
      <c r="A201" s="35" t="s">
        <v>26</v>
      </c>
      <c r="B201" s="35"/>
      <c r="C201" s="35" t="s">
        <v>29</v>
      </c>
      <c r="D201" s="38">
        <f>(1.5*1.5)*(32.2)/(500)*(1000)</f>
        <v>144.9</v>
      </c>
      <c r="E201" s="35"/>
      <c r="F201" s="35" t="s">
        <v>30</v>
      </c>
      <c r="G201" s="38">
        <f>(1.5*2.5)*(32.2)/(500)*(1000)</f>
        <v>241.50000000000003</v>
      </c>
      <c r="H201" s="35"/>
      <c r="I201" s="35" t="s">
        <v>29</v>
      </c>
      <c r="J201" s="38">
        <f>(1.5*1.5)*(32.2)/(500)*(1000)</f>
        <v>144.9</v>
      </c>
      <c r="K201" s="35"/>
      <c r="L201" s="35" t="s">
        <v>81</v>
      </c>
      <c r="M201" s="84">
        <f>(2.5*1.5)*(32.2)/(500)*(1000)</f>
        <v>241.50000000000003</v>
      </c>
      <c r="N201" s="85" t="s">
        <v>141</v>
      </c>
    </row>
    <row r="202" spans="1:14" x14ac:dyDescent="0.25">
      <c r="A202" s="35" t="s">
        <v>31</v>
      </c>
      <c r="B202" s="35"/>
      <c r="C202" s="35" t="s">
        <v>29</v>
      </c>
      <c r="D202" s="38">
        <f>(1.5*1.5)*(32.2)/(1000)*(1000)</f>
        <v>72.45</v>
      </c>
      <c r="E202" s="35"/>
      <c r="F202" s="35" t="s">
        <v>30</v>
      </c>
      <c r="G202" s="38">
        <f>(1.5*2.5)*(32.2)/(1000)*(1000)</f>
        <v>120.75000000000001</v>
      </c>
      <c r="H202" s="35"/>
      <c r="I202" s="35" t="s">
        <v>81</v>
      </c>
      <c r="J202" s="38">
        <f>(2.5*1.5)*(32.2)/(1000)*(1000)</f>
        <v>120.75000000000001</v>
      </c>
      <c r="K202" s="35"/>
      <c r="L202" s="35" t="s">
        <v>82</v>
      </c>
      <c r="M202" s="38">
        <f>(2.5*2.5)*(32.2)/(1000)*(1000)</f>
        <v>201.25000000000003</v>
      </c>
      <c r="N202" s="35"/>
    </row>
    <row r="203" spans="1:14" x14ac:dyDescent="0.25">
      <c r="A203" s="35" t="s">
        <v>34</v>
      </c>
      <c r="B203" s="35"/>
      <c r="C203" s="35" t="s">
        <v>35</v>
      </c>
      <c r="D203" s="38">
        <f>(1*1.5)*(32.2)/(800)*(1000)</f>
        <v>60.375000000000007</v>
      </c>
      <c r="E203" s="35"/>
      <c r="F203" s="35" t="s">
        <v>36</v>
      </c>
      <c r="G203" s="38">
        <f>(1*2.5)*(32.2)/(800)*(1000)</f>
        <v>100.625</v>
      </c>
      <c r="H203" s="35"/>
      <c r="I203" s="35" t="s">
        <v>37</v>
      </c>
      <c r="J203" s="38">
        <f>(1*1.5)*(32.2)/(600)*(1000)</f>
        <v>80.5</v>
      </c>
      <c r="K203" s="35"/>
      <c r="L203" s="35" t="s">
        <v>38</v>
      </c>
      <c r="M203" s="38">
        <f>(1*2.5)*(32.2)/(600)*(1000)</f>
        <v>134.16666666666666</v>
      </c>
      <c r="N203" s="35"/>
    </row>
    <row r="204" spans="1:14" x14ac:dyDescent="0.25">
      <c r="A204" s="35" t="s">
        <v>39</v>
      </c>
      <c r="B204" s="35"/>
      <c r="C204" s="35" t="s">
        <v>40</v>
      </c>
      <c r="D204" s="38">
        <f>(1*1.5)*(32.2)/(900)*(1000)</f>
        <v>53.666666666666671</v>
      </c>
      <c r="E204" s="35"/>
      <c r="F204" s="35" t="s">
        <v>41</v>
      </c>
      <c r="G204" s="38">
        <f>(1*2.5)*(32.2)/(900)*(1000)</f>
        <v>89.444444444444443</v>
      </c>
      <c r="H204" s="35"/>
      <c r="I204" s="35" t="s">
        <v>43</v>
      </c>
      <c r="J204" s="38">
        <f>(1*1.5)*(32.2)/(700)*(1000)</f>
        <v>69</v>
      </c>
      <c r="K204" s="35"/>
      <c r="L204" s="35" t="s">
        <v>44</v>
      </c>
      <c r="M204" s="38">
        <f>(1*2.5)*(32.2)/(700)*(1000)</f>
        <v>115</v>
      </c>
      <c r="N204" s="35"/>
    </row>
    <row r="205" spans="1:14" x14ac:dyDescent="0.25">
      <c r="A205" s="35" t="s">
        <v>45</v>
      </c>
      <c r="B205" s="35"/>
      <c r="C205" s="35" t="s">
        <v>46</v>
      </c>
      <c r="D205" s="38">
        <f>(1*1.5)*(32.2)/(1100)*(1000)</f>
        <v>43.909090909090914</v>
      </c>
      <c r="E205" s="35"/>
      <c r="F205" s="35" t="s">
        <v>47</v>
      </c>
      <c r="G205" s="38">
        <f>(1*2.5)*(32.2)/(1100)*(1000)</f>
        <v>73.181818181818187</v>
      </c>
      <c r="H205" s="35"/>
      <c r="I205" s="35" t="s">
        <v>48</v>
      </c>
      <c r="J205" s="38">
        <f>(1*1.5)*(32.2)/(1000)*(1000)</f>
        <v>48.300000000000004</v>
      </c>
      <c r="K205" s="35"/>
      <c r="L205" s="35" t="s">
        <v>49</v>
      </c>
      <c r="M205" s="38">
        <f>(1*2.5)*(32.2)/(1000)*(1000)</f>
        <v>80.5</v>
      </c>
      <c r="N205" s="35"/>
    </row>
    <row r="206" spans="1:14" x14ac:dyDescent="0.25">
      <c r="A206" s="86" t="s">
        <v>142</v>
      </c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</row>
    <row r="207" spans="1:14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</row>
    <row r="208" spans="1:14" ht="18.75" x14ac:dyDescent="0.3">
      <c r="A208" s="35"/>
      <c r="B208" s="35"/>
      <c r="C208" s="44" t="s">
        <v>18</v>
      </c>
      <c r="D208" s="35"/>
      <c r="E208" s="35"/>
      <c r="F208" s="44" t="s">
        <v>50</v>
      </c>
      <c r="G208" s="35"/>
      <c r="H208" s="35"/>
      <c r="I208" s="44" t="s">
        <v>143</v>
      </c>
      <c r="J208" s="35"/>
      <c r="K208" s="35"/>
      <c r="L208" s="44" t="s">
        <v>144</v>
      </c>
      <c r="M208" s="35"/>
      <c r="N208" s="35"/>
    </row>
    <row r="209" spans="1:14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</row>
    <row r="210" spans="1:14" x14ac:dyDescent="0.25">
      <c r="A210" s="35" t="s">
        <v>26</v>
      </c>
      <c r="B210" s="35"/>
      <c r="C210" s="35" t="s">
        <v>52</v>
      </c>
      <c r="D210" s="38">
        <f>(2.5*4.5)*(32.2)/(500)*(1000)</f>
        <v>724.50000000000011</v>
      </c>
      <c r="E210" s="35"/>
      <c r="F210" s="35" t="s">
        <v>145</v>
      </c>
      <c r="G210" s="38">
        <f>(2.5*5.5)*(32.2)/(500)*(1000)</f>
        <v>885.50000000000011</v>
      </c>
      <c r="H210" s="35"/>
      <c r="I210" s="35" t="s">
        <v>146</v>
      </c>
      <c r="J210" s="38">
        <f>(1.5*4.5)*(32.2)/(500)*(1000)</f>
        <v>434.70000000000005</v>
      </c>
      <c r="K210" s="35"/>
      <c r="L210" s="35" t="s">
        <v>56</v>
      </c>
      <c r="M210" s="38">
        <f>(1.5*3.5)*(32.2)/(500)*(1000)</f>
        <v>338.1</v>
      </c>
      <c r="N210" s="35"/>
    </row>
    <row r="211" spans="1:14" x14ac:dyDescent="0.25">
      <c r="A211" s="35" t="s">
        <v>31</v>
      </c>
      <c r="B211" s="35"/>
      <c r="C211" s="35" t="s">
        <v>55</v>
      </c>
      <c r="D211" s="38">
        <f>(3*4.5)*(32.2)/(1000)*(1000)</f>
        <v>434.70000000000005</v>
      </c>
      <c r="E211" s="35"/>
      <c r="F211" s="35" t="s">
        <v>147</v>
      </c>
      <c r="G211" s="38">
        <f>(3*5.5)*(32.2)/(1000)*(1000)</f>
        <v>531.30000000000007</v>
      </c>
      <c r="H211" s="35"/>
      <c r="I211" s="35" t="s">
        <v>148</v>
      </c>
      <c r="J211" s="38">
        <f>(2*4.5)*(32.2)/(1000)*(1000)</f>
        <v>289.8</v>
      </c>
      <c r="K211" s="35"/>
      <c r="L211" s="35" t="s">
        <v>101</v>
      </c>
      <c r="M211" s="38">
        <f>(2*3.5)*(32.2)/(1000)*(1000)</f>
        <v>225.40000000000003</v>
      </c>
      <c r="N211" s="35"/>
    </row>
    <row r="212" spans="1:14" x14ac:dyDescent="0.25">
      <c r="A212" s="35" t="s">
        <v>34</v>
      </c>
      <c r="B212" s="35"/>
      <c r="C212" s="35" t="s">
        <v>103</v>
      </c>
      <c r="D212" s="38">
        <f>(1*4.5)*(32.2)/(425)*(1000)</f>
        <v>340.94117647058823</v>
      </c>
      <c r="E212" s="35"/>
      <c r="F212" s="35" t="s">
        <v>149</v>
      </c>
      <c r="G212" s="38">
        <f>(1*5.5)*(32.2)/(425)*(1000)</f>
        <v>416.70588235294122</v>
      </c>
      <c r="H212" s="35"/>
      <c r="I212" s="35" t="s">
        <v>88</v>
      </c>
      <c r="J212" s="38">
        <f>(1*4.5)*(32.2)/(550)*(1000)</f>
        <v>263.45454545454544</v>
      </c>
      <c r="K212" s="35"/>
      <c r="L212" s="35" t="s">
        <v>87</v>
      </c>
      <c r="M212" s="38">
        <f>(1*3.5)*(32.2)/(550)*(1000)</f>
        <v>204.90909090909093</v>
      </c>
      <c r="N212" s="35"/>
    </row>
    <row r="213" spans="1:14" x14ac:dyDescent="0.25">
      <c r="A213" s="35" t="s">
        <v>39</v>
      </c>
      <c r="B213" s="35"/>
      <c r="C213" s="35" t="s">
        <v>86</v>
      </c>
      <c r="D213" s="38">
        <f>(1*4.5)*(32.2)/(450)*(1000)</f>
        <v>322</v>
      </c>
      <c r="E213" s="35"/>
      <c r="F213" s="35" t="s">
        <v>150</v>
      </c>
      <c r="G213" s="38">
        <f>(1*5.5)*(32.2)/(450)*(1000)</f>
        <v>393.5555555555556</v>
      </c>
      <c r="H213" s="35"/>
      <c r="I213" s="35" t="s">
        <v>151</v>
      </c>
      <c r="J213" s="38">
        <f>(1*4.5)*(32.2)/(575)*(1000)</f>
        <v>252</v>
      </c>
      <c r="K213" s="35"/>
      <c r="L213" s="35" t="s">
        <v>152</v>
      </c>
      <c r="M213" s="38">
        <f>(1*3.5)*(32.2)/(575)*(1000)</f>
        <v>196.00000000000003</v>
      </c>
      <c r="N213" s="35"/>
    </row>
    <row r="214" spans="1:14" x14ac:dyDescent="0.25">
      <c r="A214" s="35" t="s">
        <v>153</v>
      </c>
      <c r="B214" s="35"/>
      <c r="C214" s="35" t="s">
        <v>73</v>
      </c>
      <c r="D214" s="38">
        <f>(1*4.5)*(32.2)/(500)*(1000)</f>
        <v>289.8</v>
      </c>
      <c r="E214" s="35"/>
      <c r="F214" s="35" t="s">
        <v>154</v>
      </c>
      <c r="G214" s="38">
        <f>(1*5.5)*(32.2)/(500)*(1000)</f>
        <v>354.20000000000005</v>
      </c>
      <c r="H214" s="35"/>
      <c r="I214" s="35" t="s">
        <v>59</v>
      </c>
      <c r="J214" s="38">
        <f>(1*4.5)*(32.2)/(600)*(1000)</f>
        <v>241.50000000000003</v>
      </c>
      <c r="K214" s="35"/>
      <c r="L214" s="35" t="s">
        <v>57</v>
      </c>
      <c r="M214" s="38">
        <f>(1*3.5)*(32.2)/(600)*(1000)</f>
        <v>187.83333333333334</v>
      </c>
      <c r="N214" s="35"/>
    </row>
    <row r="215" spans="1:14" x14ac:dyDescent="0.25">
      <c r="A215" s="35" t="s">
        <v>155</v>
      </c>
      <c r="B215" s="35"/>
      <c r="C215" s="35" t="s">
        <v>156</v>
      </c>
      <c r="D215" s="38">
        <f>(1*5.5)*(32.2)/(1200)*(1000)</f>
        <v>147.58333333333334</v>
      </c>
      <c r="E215" s="35"/>
      <c r="F215" s="35"/>
      <c r="G215" s="35"/>
      <c r="H215" s="35" t="s">
        <v>157</v>
      </c>
      <c r="I215" s="87" t="s">
        <v>107</v>
      </c>
      <c r="J215" s="38">
        <f>(1*4.5)*(32.2)/(625)*(1000)</f>
        <v>231.84000000000003</v>
      </c>
      <c r="K215" s="35" t="s">
        <v>157</v>
      </c>
      <c r="L215" s="35" t="s">
        <v>106</v>
      </c>
      <c r="M215" s="38">
        <f>(1*3.5)*(32.2)/(625)*(1000)</f>
        <v>180.32000000000005</v>
      </c>
      <c r="N215" s="35"/>
    </row>
    <row r="218" spans="1:14" ht="18.75" x14ac:dyDescent="0.3">
      <c r="A218" s="46" t="s">
        <v>158</v>
      </c>
      <c r="B218" s="47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</row>
    <row r="219" spans="1:14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</row>
    <row r="220" spans="1:14" ht="18.75" x14ac:dyDescent="0.3">
      <c r="A220" s="29"/>
      <c r="B220" s="29"/>
      <c r="C220" s="47" t="s">
        <v>22</v>
      </c>
      <c r="D220" s="29"/>
      <c r="E220" s="29"/>
      <c r="F220" s="47" t="s">
        <v>23</v>
      </c>
      <c r="G220" s="29"/>
      <c r="H220" s="29"/>
      <c r="I220" s="47" t="s">
        <v>24</v>
      </c>
      <c r="J220" s="29"/>
      <c r="K220" s="29"/>
      <c r="L220" s="47" t="s">
        <v>25</v>
      </c>
      <c r="M220" s="29"/>
      <c r="N220" s="29"/>
    </row>
    <row r="221" spans="1:14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</row>
    <row r="222" spans="1:14" x14ac:dyDescent="0.25">
      <c r="A222" s="29" t="s">
        <v>26</v>
      </c>
      <c r="B222" s="29"/>
      <c r="C222" s="29" t="s">
        <v>29</v>
      </c>
      <c r="D222" s="48">
        <f>(1.5*1.5)*(32.2)/(500)*(1000)</f>
        <v>144.9</v>
      </c>
      <c r="E222" s="29"/>
      <c r="F222" s="29" t="s">
        <v>30</v>
      </c>
      <c r="G222" s="48">
        <f>(1.5*2.5)*(32.2)/(500)*(1000)</f>
        <v>241.50000000000003</v>
      </c>
      <c r="H222" s="29"/>
      <c r="I222" s="29" t="s">
        <v>29</v>
      </c>
      <c r="J222" s="48">
        <f>(1.5*1.5)*(32.2)/(500)*(1000)</f>
        <v>144.9</v>
      </c>
      <c r="K222" s="29"/>
      <c r="L222" s="29" t="s">
        <v>81</v>
      </c>
      <c r="M222" s="88">
        <f>(2.5*1.5)*(32.2)/(500)*(1000)</f>
        <v>241.50000000000003</v>
      </c>
      <c r="N222" s="29" t="s">
        <v>141</v>
      </c>
    </row>
    <row r="223" spans="1:14" x14ac:dyDescent="0.25">
      <c r="A223" s="29" t="s">
        <v>31</v>
      </c>
      <c r="B223" s="29"/>
      <c r="C223" s="29" t="s">
        <v>29</v>
      </c>
      <c r="D223" s="48">
        <f>(1.5*1.5)*(32.2)/(1000)*(1000)</f>
        <v>72.45</v>
      </c>
      <c r="E223" s="29"/>
      <c r="F223" s="29" t="s">
        <v>30</v>
      </c>
      <c r="G223" s="48">
        <f>(1.5*2.5)*(32.2)/(1000)*(1000)</f>
        <v>120.75000000000001</v>
      </c>
      <c r="H223" s="29"/>
      <c r="I223" s="29" t="s">
        <v>81</v>
      </c>
      <c r="J223" s="48">
        <f>(2.5*1.5)*(32.2)/(1000)*(1000)</f>
        <v>120.75000000000001</v>
      </c>
      <c r="K223" s="29"/>
      <c r="L223" s="29" t="s">
        <v>82</v>
      </c>
      <c r="M223" s="48">
        <f>(2.5*2.5)*(32.2)/(1000)*(1000)</f>
        <v>201.25000000000003</v>
      </c>
      <c r="N223" s="29"/>
    </row>
    <row r="224" spans="1:14" x14ac:dyDescent="0.25">
      <c r="A224" s="29" t="s">
        <v>34</v>
      </c>
      <c r="B224" s="29"/>
      <c r="C224" s="29" t="s">
        <v>35</v>
      </c>
      <c r="D224" s="48">
        <f>(1*1.5)*(32.2)/(800)*(1000)</f>
        <v>60.375000000000007</v>
      </c>
      <c r="E224" s="29"/>
      <c r="F224" s="29" t="s">
        <v>36</v>
      </c>
      <c r="G224" s="48">
        <f>(1*2.5)*(32.2)/(800)*(1000)</f>
        <v>100.625</v>
      </c>
      <c r="H224" s="29"/>
      <c r="I224" s="29" t="s">
        <v>37</v>
      </c>
      <c r="J224" s="48">
        <f>(1*1.5)*(32.2)/(600)*(1000)</f>
        <v>80.5</v>
      </c>
      <c r="K224" s="29"/>
      <c r="L224" s="29" t="s">
        <v>38</v>
      </c>
      <c r="M224" s="48">
        <f>(1*2.5)*(32.2)/(600)*(1000)</f>
        <v>134.16666666666666</v>
      </c>
      <c r="N224" s="29"/>
    </row>
    <row r="225" spans="1:17" x14ac:dyDescent="0.25">
      <c r="A225" s="29" t="s">
        <v>39</v>
      </c>
      <c r="B225" s="29"/>
      <c r="C225" s="29" t="s">
        <v>40</v>
      </c>
      <c r="D225" s="48">
        <f>(1*1.5)*(32.2)/(900)*(1000)</f>
        <v>53.666666666666671</v>
      </c>
      <c r="E225" s="29"/>
      <c r="F225" s="29" t="s">
        <v>41</v>
      </c>
      <c r="G225" s="48">
        <f>(1*2.5)*(32.2)/(900)*(1000)</f>
        <v>89.444444444444443</v>
      </c>
      <c r="H225" s="29"/>
      <c r="I225" s="29" t="s">
        <v>43</v>
      </c>
      <c r="J225" s="48">
        <f>(1*1.5)*(32.2)/(700)*(1000)</f>
        <v>69</v>
      </c>
      <c r="K225" s="29"/>
      <c r="L225" s="29" t="s">
        <v>44</v>
      </c>
      <c r="M225" s="48">
        <f>(1*2.5)*(32.2)/(700)*(1000)</f>
        <v>115</v>
      </c>
      <c r="N225" s="29"/>
    </row>
    <row r="226" spans="1:17" x14ac:dyDescent="0.25">
      <c r="A226" s="29" t="s">
        <v>45</v>
      </c>
      <c r="B226" s="29"/>
      <c r="C226" s="29" t="s">
        <v>46</v>
      </c>
      <c r="D226" s="48">
        <f>(1*1.5)*(32.2)/(1100)*(1000)</f>
        <v>43.909090909090914</v>
      </c>
      <c r="E226" s="29"/>
      <c r="F226" s="29" t="s">
        <v>47</v>
      </c>
      <c r="G226" s="48">
        <f>(1*2.5)*(32.2)/(1100)*(1000)</f>
        <v>73.181818181818187</v>
      </c>
      <c r="H226" s="29"/>
      <c r="I226" s="29" t="s">
        <v>48</v>
      </c>
      <c r="J226" s="48">
        <f>(1*1.5)*(32.2)/(1000)*(1000)</f>
        <v>48.300000000000004</v>
      </c>
      <c r="K226" s="29"/>
      <c r="L226" s="29" t="s">
        <v>49</v>
      </c>
      <c r="M226" s="48">
        <f>(1*2.5)*(32.2)/(1000)*(1000)</f>
        <v>80.5</v>
      </c>
      <c r="N226" s="29"/>
    </row>
    <row r="227" spans="1:17" x14ac:dyDescent="0.25">
      <c r="A227" s="89" t="s">
        <v>142</v>
      </c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</row>
    <row r="228" spans="1:17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</row>
    <row r="229" spans="1:17" ht="18.75" x14ac:dyDescent="0.3">
      <c r="A229" s="29"/>
      <c r="B229" s="29"/>
      <c r="C229" s="50" t="s">
        <v>18</v>
      </c>
      <c r="D229" s="29"/>
      <c r="E229" s="29"/>
      <c r="F229" s="50" t="s">
        <v>50</v>
      </c>
      <c r="G229" s="29"/>
      <c r="H229" s="29"/>
      <c r="I229" s="50" t="s">
        <v>143</v>
      </c>
      <c r="J229" s="29"/>
      <c r="K229" s="29"/>
      <c r="L229" s="50" t="s">
        <v>144</v>
      </c>
      <c r="M229" s="29"/>
      <c r="N229" s="29"/>
    </row>
    <row r="230" spans="1:17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</row>
    <row r="231" spans="1:17" x14ac:dyDescent="0.25">
      <c r="A231" s="29" t="s">
        <v>26</v>
      </c>
      <c r="B231" s="29"/>
      <c r="C231" s="29" t="s">
        <v>52</v>
      </c>
      <c r="D231" s="48">
        <f>(2.5*4.5)*(32.2)/(500)*(1000)</f>
        <v>724.50000000000011</v>
      </c>
      <c r="E231" s="29"/>
      <c r="F231" s="29" t="s">
        <v>145</v>
      </c>
      <c r="G231" s="48">
        <f>(2.5*5.5)*(32.2)/(500)*(1000)</f>
        <v>885.50000000000011</v>
      </c>
      <c r="H231" s="29"/>
      <c r="I231" s="29" t="s">
        <v>146</v>
      </c>
      <c r="J231" s="48">
        <f>(1.5*4.5)*(32.2)/(500)*(1000)</f>
        <v>434.70000000000005</v>
      </c>
      <c r="K231" s="29"/>
      <c r="L231" s="29" t="s">
        <v>56</v>
      </c>
      <c r="M231" s="48">
        <f>(1.5*3.5)*(32.2)/(500)*(1000)</f>
        <v>338.1</v>
      </c>
      <c r="N231" s="29"/>
    </row>
    <row r="232" spans="1:17" x14ac:dyDescent="0.25">
      <c r="A232" s="29" t="s">
        <v>31</v>
      </c>
      <c r="B232" s="29"/>
      <c r="C232" s="29" t="s">
        <v>55</v>
      </c>
      <c r="D232" s="48">
        <f>(3*4.5)*(32.2)/(1000)*(1000)</f>
        <v>434.70000000000005</v>
      </c>
      <c r="E232" s="29"/>
      <c r="F232" s="29" t="s">
        <v>147</v>
      </c>
      <c r="G232" s="48">
        <f>(3*5.5)*(32.2)/(1000)*(1000)</f>
        <v>531.30000000000007</v>
      </c>
      <c r="H232" s="29"/>
      <c r="I232" s="29" t="s">
        <v>148</v>
      </c>
      <c r="J232" s="48">
        <f>(2*4.5)*(32.2)/(1000)*(1000)</f>
        <v>289.8</v>
      </c>
      <c r="K232" s="29"/>
      <c r="L232" s="29" t="s">
        <v>101</v>
      </c>
      <c r="M232" s="48">
        <f>(2*3.5)*(32.2)/(1000)*(1000)</f>
        <v>225.40000000000003</v>
      </c>
      <c r="N232" s="29"/>
    </row>
    <row r="233" spans="1:17" x14ac:dyDescent="0.25">
      <c r="A233" s="29" t="s">
        <v>34</v>
      </c>
      <c r="B233" s="29"/>
      <c r="C233" s="29" t="s">
        <v>114</v>
      </c>
      <c r="D233" s="48">
        <f>(1*4.5)*(32.2)/(400)*(1000)</f>
        <v>362.25</v>
      </c>
      <c r="E233" s="51" t="s">
        <v>159</v>
      </c>
      <c r="F233" s="29" t="s">
        <v>160</v>
      </c>
      <c r="G233" s="48">
        <f>(1*5.5)*(32.2)/(400)*(1000)</f>
        <v>442.75000000000006</v>
      </c>
      <c r="H233" s="29"/>
      <c r="I233" s="29" t="s">
        <v>86</v>
      </c>
      <c r="J233" s="48">
        <f>(1*4.5)*(32.2)/(450)*(1000)</f>
        <v>322</v>
      </c>
      <c r="K233" s="29"/>
      <c r="L233" s="29" t="s">
        <v>85</v>
      </c>
      <c r="M233" s="48">
        <f>(1*3.5)*(32.2)/(450)*(1000)</f>
        <v>250.44444444444446</v>
      </c>
      <c r="N233" s="29"/>
    </row>
    <row r="234" spans="1:17" x14ac:dyDescent="0.25">
      <c r="A234" s="29" t="s">
        <v>39</v>
      </c>
      <c r="B234" s="29"/>
      <c r="C234" s="29" t="s">
        <v>103</v>
      </c>
      <c r="D234" s="48">
        <f>(1*4.5)*(32.2)/(425)*(1000)</f>
        <v>340.94117647058823</v>
      </c>
      <c r="E234" s="51" t="s">
        <v>161</v>
      </c>
      <c r="F234" s="29" t="s">
        <v>149</v>
      </c>
      <c r="G234" s="48">
        <f>(1*5.5)*(32.2)/(425)*(1000)</f>
        <v>416.70588235294122</v>
      </c>
      <c r="H234" s="29"/>
      <c r="I234" s="29" t="s">
        <v>162</v>
      </c>
      <c r="J234" s="48">
        <f>(1*4.5)*(32.2)/(475)*(1000)</f>
        <v>305.05263157894734</v>
      </c>
      <c r="K234" s="29"/>
      <c r="L234" s="29" t="s">
        <v>163</v>
      </c>
      <c r="M234" s="48">
        <f>(1*3.5)*(32.2)/(475)*(1000)</f>
        <v>237.26315789473688</v>
      </c>
      <c r="N234" s="29"/>
    </row>
    <row r="235" spans="1:17" x14ac:dyDescent="0.25">
      <c r="A235" s="29" t="s">
        <v>153</v>
      </c>
      <c r="B235" s="29"/>
      <c r="C235" s="29" t="s">
        <v>86</v>
      </c>
      <c r="D235" s="48">
        <f>(1*4.5)*(32.2)/(450)*(1000)</f>
        <v>322</v>
      </c>
      <c r="E235" s="29"/>
      <c r="F235" s="29" t="s">
        <v>150</v>
      </c>
      <c r="G235" s="48">
        <f>(1*5.5)*(32.2)/(450)*(1000)</f>
        <v>393.5555555555556</v>
      </c>
      <c r="H235" s="29"/>
      <c r="I235" s="29" t="s">
        <v>73</v>
      </c>
      <c r="J235" s="48">
        <f>(1*4.5)*(32.2)/(500)*(1000)</f>
        <v>289.8</v>
      </c>
      <c r="K235" s="29"/>
      <c r="L235" s="29" t="s">
        <v>71</v>
      </c>
      <c r="M235" s="48">
        <f>(1*3.5)*(32.2)/(500)*(1000)</f>
        <v>225.40000000000003</v>
      </c>
      <c r="N235" s="29"/>
    </row>
    <row r="236" spans="1:17" x14ac:dyDescent="0.25">
      <c r="A236" s="29" t="s">
        <v>155</v>
      </c>
      <c r="B236" s="29"/>
      <c r="C236" s="29" t="s">
        <v>164</v>
      </c>
      <c r="D236" s="48">
        <f>(1*5.5)*(32.2)/(1150)*(1000)</f>
        <v>154.00000000000003</v>
      </c>
      <c r="E236" s="29"/>
      <c r="F236" s="29"/>
      <c r="G236" s="29"/>
      <c r="H236" s="29" t="s">
        <v>157</v>
      </c>
      <c r="I236" s="91" t="s">
        <v>105</v>
      </c>
      <c r="J236" s="48">
        <f>(1*4.5)*(32.2)/(525)*(1000)</f>
        <v>276</v>
      </c>
      <c r="K236" s="29" t="s">
        <v>157</v>
      </c>
      <c r="L236" s="29" t="s">
        <v>104</v>
      </c>
      <c r="M236" s="48">
        <f>(1*3.5)*(32.2)/(525)*(1000)</f>
        <v>214.66666666666671</v>
      </c>
      <c r="N236" s="29"/>
      <c r="Q236" s="25" t="s">
        <v>274</v>
      </c>
    </row>
    <row r="237" spans="1:17" x14ac:dyDescent="0.25">
      <c r="Q237" s="27" t="s">
        <v>275</v>
      </c>
    </row>
    <row r="238" spans="1:17" x14ac:dyDescent="0.25">
      <c r="Q238" t="s">
        <v>276</v>
      </c>
    </row>
    <row r="239" spans="1:17" ht="18.75" x14ac:dyDescent="0.3">
      <c r="A239" s="53" t="s">
        <v>165</v>
      </c>
      <c r="B239" s="54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</row>
    <row r="240" spans="1:17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</row>
    <row r="241" spans="1:14" ht="18.75" x14ac:dyDescent="0.3">
      <c r="A241" s="55"/>
      <c r="B241" s="55"/>
      <c r="C241" s="54" t="s">
        <v>22</v>
      </c>
      <c r="D241" s="55"/>
      <c r="E241" s="55"/>
      <c r="F241" s="54" t="s">
        <v>23</v>
      </c>
      <c r="G241" s="55"/>
      <c r="H241" s="55"/>
      <c r="I241" s="54" t="s">
        <v>24</v>
      </c>
      <c r="J241" s="55"/>
      <c r="K241" s="55"/>
      <c r="L241" s="54" t="s">
        <v>25</v>
      </c>
      <c r="M241" s="55"/>
      <c r="N241" s="55"/>
    </row>
    <row r="242" spans="1:14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</row>
    <row r="243" spans="1:14" x14ac:dyDescent="0.25">
      <c r="A243" s="55" t="s">
        <v>26</v>
      </c>
      <c r="B243" s="55"/>
      <c r="C243" s="55" t="s">
        <v>29</v>
      </c>
      <c r="D243" s="56">
        <f>(1.5*1.5)*(32.2)/(500)*(1000)</f>
        <v>144.9</v>
      </c>
      <c r="E243" s="55"/>
      <c r="F243" s="55" t="s">
        <v>30</v>
      </c>
      <c r="G243" s="56">
        <f>(1.5*2.5)*(32.2)/(500)*(1000)</f>
        <v>241.50000000000003</v>
      </c>
      <c r="H243" s="55"/>
      <c r="I243" s="55" t="s">
        <v>29</v>
      </c>
      <c r="J243" s="56">
        <f>(1.5*1.5)*(32.2)/(500)*(1000)</f>
        <v>144.9</v>
      </c>
      <c r="K243" s="55"/>
      <c r="L243" s="55" t="s">
        <v>30</v>
      </c>
      <c r="M243" s="56">
        <f>(1.5*2.5)*(32.2)/(500)*(1000)</f>
        <v>241.50000000000003</v>
      </c>
      <c r="N243" s="55"/>
    </row>
    <row r="244" spans="1:14" x14ac:dyDescent="0.25">
      <c r="A244" s="55" t="s">
        <v>31</v>
      </c>
      <c r="B244" s="55"/>
      <c r="C244" s="55" t="s">
        <v>32</v>
      </c>
      <c r="D244" s="56">
        <f>(2*1.5)*(32.2)/(1000)*(1000)</f>
        <v>96.600000000000009</v>
      </c>
      <c r="E244" s="55"/>
      <c r="F244" s="55" t="s">
        <v>33</v>
      </c>
      <c r="G244" s="56">
        <f>(2*2.5)*(32.2)/(1000)*(1000)</f>
        <v>161</v>
      </c>
      <c r="H244" s="55"/>
      <c r="I244" s="55" t="s">
        <v>81</v>
      </c>
      <c r="J244" s="56">
        <f>(2.5*1.5)*(32.2)/(1000)*(1000)</f>
        <v>120.75000000000001</v>
      </c>
      <c r="K244" s="55"/>
      <c r="L244" s="55" t="s">
        <v>82</v>
      </c>
      <c r="M244" s="56">
        <f>(2.5*2.5)*(32.2)/(1000)*(1000)</f>
        <v>201.25000000000003</v>
      </c>
      <c r="N244" s="55"/>
    </row>
    <row r="245" spans="1:14" x14ac:dyDescent="0.25">
      <c r="A245" s="55" t="s">
        <v>34</v>
      </c>
      <c r="B245" s="55"/>
      <c r="C245" s="55" t="s">
        <v>43</v>
      </c>
      <c r="D245" s="56">
        <f>(1*1.5)*(32.2)/(700)*(1000)</f>
        <v>69</v>
      </c>
      <c r="E245" s="55"/>
      <c r="F245" s="55" t="s">
        <v>44</v>
      </c>
      <c r="G245" s="56">
        <f>(1*2.5)*(32.2)/(700)*(1000)</f>
        <v>115</v>
      </c>
      <c r="H245" s="55"/>
      <c r="I245" s="55" t="s">
        <v>37</v>
      </c>
      <c r="J245" s="56">
        <f>(1*1.5)*(32.2)/(600)*(1000)</f>
        <v>80.5</v>
      </c>
      <c r="K245" s="55"/>
      <c r="L245" s="55" t="s">
        <v>38</v>
      </c>
      <c r="M245" s="56">
        <f>(1*2.5)*(32.2)/(600)*(1000)</f>
        <v>134.16666666666666</v>
      </c>
      <c r="N245" s="55"/>
    </row>
    <row r="246" spans="1:14" x14ac:dyDescent="0.25">
      <c r="A246" s="55" t="s">
        <v>39</v>
      </c>
      <c r="B246" s="55"/>
      <c r="C246" s="55" t="s">
        <v>35</v>
      </c>
      <c r="D246" s="56">
        <f>(1*1.5)*(32.2)/(800)*(1000)</f>
        <v>60.375000000000007</v>
      </c>
      <c r="E246" s="55"/>
      <c r="F246" s="55" t="s">
        <v>36</v>
      </c>
      <c r="G246" s="56">
        <f>(1*2.5)*(32.2)/(800)*(1000)</f>
        <v>100.625</v>
      </c>
      <c r="H246" s="55"/>
      <c r="I246" s="55" t="s">
        <v>43</v>
      </c>
      <c r="J246" s="56">
        <f>(1*1.5)*(32.2)/(700)*(1000)</f>
        <v>69</v>
      </c>
      <c r="K246" s="55"/>
      <c r="L246" s="55" t="s">
        <v>44</v>
      </c>
      <c r="M246" s="56">
        <f>(1*2.5)*(32.2)/(700)*(1000)</f>
        <v>115</v>
      </c>
      <c r="N246" s="55"/>
    </row>
    <row r="247" spans="1:14" x14ac:dyDescent="0.25">
      <c r="A247" s="55" t="s">
        <v>45</v>
      </c>
      <c r="B247" s="55"/>
      <c r="C247" s="55" t="s">
        <v>46</v>
      </c>
      <c r="D247" s="56">
        <f>(1*1.5)*(32.2)/(1100)*(1000)</f>
        <v>43.909090909090914</v>
      </c>
      <c r="E247" s="55"/>
      <c r="F247" s="55" t="s">
        <v>47</v>
      </c>
      <c r="G247" s="56">
        <f>(1*2.5)*(32.2)/(1100)*(1000)</f>
        <v>73.181818181818187</v>
      </c>
      <c r="H247" s="55"/>
      <c r="I247" s="55" t="s">
        <v>48</v>
      </c>
      <c r="J247" s="56">
        <f>(1*1.5)*(32.2)/(1000)*(1000)</f>
        <v>48.300000000000004</v>
      </c>
      <c r="K247" s="55"/>
      <c r="L247" s="55" t="s">
        <v>49</v>
      </c>
      <c r="M247" s="56">
        <f>(1*2.5)*(32.2)/(1000)*(1000)</f>
        <v>80.5</v>
      </c>
      <c r="N247" s="55"/>
    </row>
    <row r="248" spans="1:14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</row>
    <row r="249" spans="1:14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</row>
    <row r="250" spans="1:14" ht="18.75" x14ac:dyDescent="0.3">
      <c r="A250" s="55"/>
      <c r="B250" s="55"/>
      <c r="C250" s="61" t="s">
        <v>18</v>
      </c>
      <c r="D250" s="55"/>
      <c r="E250" s="55"/>
      <c r="F250" s="61" t="s">
        <v>50</v>
      </c>
      <c r="G250" s="55"/>
      <c r="H250" s="55"/>
      <c r="I250" s="61" t="s">
        <v>143</v>
      </c>
      <c r="J250" s="55"/>
      <c r="K250" s="55"/>
      <c r="L250" s="61" t="s">
        <v>144</v>
      </c>
      <c r="M250" s="55"/>
      <c r="N250" s="55"/>
    </row>
    <row r="251" spans="1:14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</row>
    <row r="252" spans="1:14" x14ac:dyDescent="0.25">
      <c r="A252" s="55" t="s">
        <v>26</v>
      </c>
      <c r="B252" s="55"/>
      <c r="C252" s="55" t="s">
        <v>52</v>
      </c>
      <c r="D252" s="56">
        <f>(2.5*4.5)*(32.2)/(500)*(1000)</f>
        <v>724.50000000000011</v>
      </c>
      <c r="E252" s="55"/>
      <c r="F252" s="55" t="s">
        <v>145</v>
      </c>
      <c r="G252" s="56">
        <f>(2.5*5.5)*(32.2)/(500)*(1000)</f>
        <v>885.50000000000011</v>
      </c>
      <c r="H252" s="59" t="s">
        <v>42</v>
      </c>
      <c r="I252" s="55" t="s">
        <v>148</v>
      </c>
      <c r="J252" s="56">
        <f>(2*4.5)*(32.2)/(500)*(1000)</f>
        <v>579.6</v>
      </c>
      <c r="K252" s="55"/>
      <c r="L252" s="55" t="s">
        <v>101</v>
      </c>
      <c r="M252" s="56">
        <f>(2*3.5)*(32.2)/(500)*(1000)</f>
        <v>450.80000000000007</v>
      </c>
      <c r="N252" s="55"/>
    </row>
    <row r="253" spans="1:14" x14ac:dyDescent="0.25">
      <c r="A253" s="55" t="s">
        <v>31</v>
      </c>
      <c r="B253" s="55"/>
      <c r="C253" s="55" t="s">
        <v>126</v>
      </c>
      <c r="D253" s="56">
        <f>(3.5*4.5)*(32.2)/(1000)*(1000)</f>
        <v>507.15</v>
      </c>
      <c r="E253" s="55"/>
      <c r="F253" s="55" t="s">
        <v>166</v>
      </c>
      <c r="G253" s="56">
        <f>(3.5*5.5)*(32.2)/(1000)*(1000)</f>
        <v>619.85</v>
      </c>
      <c r="H253" s="59" t="s">
        <v>42</v>
      </c>
      <c r="I253" s="55" t="s">
        <v>55</v>
      </c>
      <c r="J253" s="56">
        <f>(3*4.5)*(32.2)/(1000)*(1000)</f>
        <v>434.70000000000005</v>
      </c>
      <c r="K253" s="55"/>
      <c r="L253" s="55" t="s">
        <v>54</v>
      </c>
      <c r="M253" s="56">
        <f>(3*3.5)*(32.2)/(1000)*(1000)</f>
        <v>338.1</v>
      </c>
      <c r="N253" s="55"/>
    </row>
    <row r="254" spans="1:14" x14ac:dyDescent="0.25">
      <c r="A254" s="55" t="s">
        <v>34</v>
      </c>
      <c r="B254" s="55"/>
      <c r="C254" s="55" t="s">
        <v>167</v>
      </c>
      <c r="D254" s="56">
        <f>(1*4.5)*(32.2)/(300)*(1000)</f>
        <v>483.00000000000006</v>
      </c>
      <c r="E254" s="55"/>
      <c r="F254" s="55" t="s">
        <v>168</v>
      </c>
      <c r="G254" s="56">
        <f>(1*5.5)*(32.2)/(300)*(1000)</f>
        <v>590.33333333333337</v>
      </c>
      <c r="H254" s="59" t="s">
        <v>42</v>
      </c>
      <c r="I254" s="55" t="s">
        <v>121</v>
      </c>
      <c r="J254" s="56">
        <f>(1*4.5)*(32.2)/(375)*(1000)</f>
        <v>386.40000000000003</v>
      </c>
      <c r="K254" s="55"/>
      <c r="L254" s="55" t="s">
        <v>120</v>
      </c>
      <c r="M254" s="56">
        <f>(1*3.5)*(32.2)/(375)*(1000)</f>
        <v>300.53333333333336</v>
      </c>
      <c r="N254" s="55"/>
    </row>
    <row r="255" spans="1:14" x14ac:dyDescent="0.25">
      <c r="A255" s="55" t="s">
        <v>39</v>
      </c>
      <c r="B255" s="55"/>
      <c r="C255" s="55" t="s">
        <v>169</v>
      </c>
      <c r="D255" s="56">
        <f>(1*4.5)*(32.2)/(325)*(1000)</f>
        <v>445.84615384615381</v>
      </c>
      <c r="E255" s="55"/>
      <c r="F255" s="55" t="s">
        <v>170</v>
      </c>
      <c r="G255" s="56">
        <f>(1*5.5)*(32.2)/(325)*(1000)</f>
        <v>544.92307692307691</v>
      </c>
      <c r="H255" s="59" t="s">
        <v>42</v>
      </c>
      <c r="I255" s="55" t="s">
        <v>114</v>
      </c>
      <c r="J255" s="56">
        <f>(1*4.5)*(32.2)/(400)*(1000)</f>
        <v>362.25</v>
      </c>
      <c r="K255" s="55"/>
      <c r="L255" s="55" t="s">
        <v>113</v>
      </c>
      <c r="M255" s="56">
        <f>(1*3.5)*(32.2)/(400)*(1000)</f>
        <v>281.75000000000006</v>
      </c>
      <c r="N255" s="55"/>
    </row>
    <row r="256" spans="1:14" x14ac:dyDescent="0.25">
      <c r="A256" s="55" t="s">
        <v>153</v>
      </c>
      <c r="B256" s="55"/>
      <c r="C256" s="55" t="s">
        <v>171</v>
      </c>
      <c r="D256" s="56">
        <f>(1*4.5)*(32.2)/(350)*(1000)</f>
        <v>414.00000000000006</v>
      </c>
      <c r="E256" s="55"/>
      <c r="F256" s="55" t="s">
        <v>172</v>
      </c>
      <c r="G256" s="56">
        <f>(1*5.5)*(32.2)/(350)*(1000)</f>
        <v>506.00000000000011</v>
      </c>
      <c r="H256" s="59" t="s">
        <v>42</v>
      </c>
      <c r="I256" s="55" t="s">
        <v>103</v>
      </c>
      <c r="J256" s="56">
        <f>(1*4.5)*(32.2)/(425)*(1000)</f>
        <v>340.94117647058823</v>
      </c>
      <c r="K256" s="55"/>
      <c r="L256" s="55" t="s">
        <v>102</v>
      </c>
      <c r="M256" s="56">
        <f>(1*3.5)*(32.2)/(425)*(1000)</f>
        <v>265.17647058823536</v>
      </c>
      <c r="N256" s="55"/>
    </row>
    <row r="257" spans="1:14" x14ac:dyDescent="0.25">
      <c r="A257" s="55" t="s">
        <v>173</v>
      </c>
      <c r="B257" s="55"/>
      <c r="C257" s="55" t="s">
        <v>174</v>
      </c>
      <c r="D257" s="56">
        <f>(1*5.5)*(32.2)/(1100)*(1000)</f>
        <v>161.00000000000003</v>
      </c>
      <c r="E257" s="59" t="s">
        <v>42</v>
      </c>
      <c r="F257" s="55"/>
      <c r="G257" s="55"/>
      <c r="H257" s="55" t="s">
        <v>157</v>
      </c>
      <c r="I257" s="92" t="s">
        <v>86</v>
      </c>
      <c r="J257" s="56">
        <f>(1*4.5)*(32.2)/(450)*(1000)</f>
        <v>322</v>
      </c>
      <c r="K257" s="55" t="s">
        <v>157</v>
      </c>
      <c r="L257" s="55" t="s">
        <v>85</v>
      </c>
      <c r="M257" s="56">
        <f>(1*3.5)*(32.2)/(450)*(1000)</f>
        <v>250.44444444444446</v>
      </c>
      <c r="N257" s="55"/>
    </row>
  </sheetData>
  <pageMargins left="0.70866141732283472" right="0.70866141732283472" top="0.74803149606299213" bottom="0.74803149606299213" header="0.31496062992125984" footer="0.31496062992125984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9F08-A582-4B62-8878-65586D51ED03}">
  <sheetPr codeName="Hoja10"/>
  <dimension ref="B2:J68"/>
  <sheetViews>
    <sheetView topLeftCell="A7" zoomScaleNormal="100" workbookViewId="0">
      <selection activeCell="R31" sqref="R31"/>
    </sheetView>
  </sheetViews>
  <sheetFormatPr baseColWidth="10" defaultRowHeight="15" x14ac:dyDescent="0.25"/>
  <cols>
    <col min="1" max="1" width="4.42578125" customWidth="1"/>
    <col min="2" max="2" width="20.85546875" style="12" hidden="1" customWidth="1"/>
    <col min="3" max="3" width="12.42578125" style="12" hidden="1" customWidth="1"/>
    <col min="4" max="4" width="15.85546875" style="12" hidden="1" customWidth="1"/>
    <col min="5" max="5" width="14.85546875" hidden="1" customWidth="1"/>
    <col min="6" max="8" width="14" hidden="1" customWidth="1"/>
  </cols>
  <sheetData>
    <row r="2" spans="2:10" x14ac:dyDescent="0.25">
      <c r="B2" s="1" t="s">
        <v>235</v>
      </c>
    </row>
    <row r="3" spans="2:10" x14ac:dyDescent="0.25">
      <c r="B3" s="1"/>
    </row>
    <row r="4" spans="2:10" x14ac:dyDescent="0.25">
      <c r="B4" s="1" t="s">
        <v>236</v>
      </c>
    </row>
    <row r="5" spans="2:10" x14ac:dyDescent="0.25">
      <c r="B5" s="12" t="s">
        <v>242</v>
      </c>
      <c r="D5" s="12">
        <v>375</v>
      </c>
    </row>
    <row r="7" spans="2:10" x14ac:dyDescent="0.25">
      <c r="B7" s="132" t="s">
        <v>237</v>
      </c>
      <c r="C7" s="132" t="s">
        <v>238</v>
      </c>
      <c r="D7" s="132" t="s">
        <v>240</v>
      </c>
      <c r="E7" s="132" t="s">
        <v>243</v>
      </c>
      <c r="F7" s="132" t="s">
        <v>245</v>
      </c>
      <c r="G7" s="132" t="s">
        <v>244</v>
      </c>
      <c r="H7" s="132" t="s">
        <v>241</v>
      </c>
    </row>
    <row r="8" spans="2:10" x14ac:dyDescent="0.25">
      <c r="B8" s="12">
        <v>250</v>
      </c>
      <c r="C8" s="127">
        <v>3000</v>
      </c>
      <c r="D8" s="12">
        <v>218</v>
      </c>
      <c r="E8" s="128">
        <f t="shared" ref="E8:E39" si="0">+D8/C8</f>
        <v>7.2666666666666671E-2</v>
      </c>
      <c r="F8" s="23">
        <f t="shared" ref="F8:F21" si="1">+D8*(1+0.85)</f>
        <v>403.3</v>
      </c>
      <c r="G8" s="23">
        <f>+D8*(1+0.85)</f>
        <v>403.3</v>
      </c>
      <c r="H8" s="129">
        <v>0.4</v>
      </c>
      <c r="J8" s="24"/>
    </row>
    <row r="9" spans="2:10" x14ac:dyDescent="0.25">
      <c r="B9" s="12">
        <v>200</v>
      </c>
      <c r="C9" s="127">
        <v>1000</v>
      </c>
      <c r="D9" s="12">
        <v>375</v>
      </c>
      <c r="E9" s="128">
        <f t="shared" si="0"/>
        <v>0.375</v>
      </c>
      <c r="F9" s="23">
        <f t="shared" si="1"/>
        <v>693.75</v>
      </c>
      <c r="G9" s="23">
        <f t="shared" ref="G9:G67" si="2">+D9*(1+0.85)</f>
        <v>693.75</v>
      </c>
      <c r="H9" s="129">
        <v>0.4</v>
      </c>
    </row>
    <row r="10" spans="2:10" x14ac:dyDescent="0.25">
      <c r="B10" s="12">
        <v>200</v>
      </c>
      <c r="C10" s="127">
        <v>2000</v>
      </c>
      <c r="D10" s="12">
        <v>210</v>
      </c>
      <c r="E10" s="128">
        <f t="shared" si="0"/>
        <v>0.105</v>
      </c>
      <c r="F10" s="23">
        <f t="shared" si="1"/>
        <v>388.5</v>
      </c>
      <c r="G10" s="23">
        <f t="shared" si="2"/>
        <v>388.5</v>
      </c>
      <c r="H10" s="129">
        <v>0.4</v>
      </c>
    </row>
    <row r="11" spans="2:10" x14ac:dyDescent="0.25">
      <c r="B11" s="12">
        <v>200</v>
      </c>
      <c r="C11" s="127">
        <v>2500</v>
      </c>
      <c r="D11" s="12">
        <v>156</v>
      </c>
      <c r="E11" s="128">
        <f t="shared" si="0"/>
        <v>6.2399999999999997E-2</v>
      </c>
      <c r="F11" s="23">
        <f t="shared" si="1"/>
        <v>288.60000000000002</v>
      </c>
      <c r="G11" s="23">
        <f t="shared" si="2"/>
        <v>288.60000000000002</v>
      </c>
      <c r="H11" s="129">
        <v>0.4</v>
      </c>
    </row>
    <row r="12" spans="2:10" x14ac:dyDescent="0.25">
      <c r="B12" s="12">
        <v>200</v>
      </c>
      <c r="C12" s="127">
        <v>5000</v>
      </c>
      <c r="D12" s="12">
        <v>146</v>
      </c>
      <c r="E12" s="128">
        <f t="shared" si="0"/>
        <v>2.92E-2</v>
      </c>
      <c r="F12" s="23">
        <f t="shared" si="1"/>
        <v>270.10000000000002</v>
      </c>
      <c r="G12" s="23">
        <f t="shared" si="2"/>
        <v>270.10000000000002</v>
      </c>
      <c r="H12" s="129">
        <v>0.4</v>
      </c>
    </row>
    <row r="13" spans="2:10" x14ac:dyDescent="0.25">
      <c r="B13" s="127">
        <v>200</v>
      </c>
      <c r="C13" s="127">
        <v>10000</v>
      </c>
      <c r="D13" s="12">
        <v>127</v>
      </c>
      <c r="E13" s="128">
        <f t="shared" si="0"/>
        <v>1.2699999999999999E-2</v>
      </c>
      <c r="F13" s="23">
        <f t="shared" si="1"/>
        <v>234.95000000000002</v>
      </c>
      <c r="G13" s="23">
        <f t="shared" si="2"/>
        <v>234.95000000000002</v>
      </c>
      <c r="H13" s="129">
        <v>0.4</v>
      </c>
    </row>
    <row r="14" spans="2:10" x14ac:dyDescent="0.25">
      <c r="B14" s="127">
        <v>200</v>
      </c>
      <c r="C14" s="127">
        <v>20000</v>
      </c>
      <c r="D14" s="12">
        <v>112</v>
      </c>
      <c r="E14" s="128">
        <f t="shared" si="0"/>
        <v>5.5999999999999999E-3</v>
      </c>
      <c r="F14" s="23">
        <f t="shared" si="1"/>
        <v>207.20000000000002</v>
      </c>
      <c r="G14" s="23">
        <f t="shared" si="2"/>
        <v>207.20000000000002</v>
      </c>
      <c r="H14" s="129">
        <v>0.4</v>
      </c>
    </row>
    <row r="15" spans="2:10" x14ac:dyDescent="0.25">
      <c r="B15" s="127">
        <v>150</v>
      </c>
      <c r="C15" s="127">
        <v>1000</v>
      </c>
      <c r="D15" s="12">
        <v>375</v>
      </c>
      <c r="E15" s="128">
        <f t="shared" si="0"/>
        <v>0.375</v>
      </c>
      <c r="F15" s="23">
        <f t="shared" si="1"/>
        <v>693.75</v>
      </c>
      <c r="G15" s="23">
        <f t="shared" si="2"/>
        <v>693.75</v>
      </c>
      <c r="H15" s="129">
        <v>0.4</v>
      </c>
    </row>
    <row r="16" spans="2:10" x14ac:dyDescent="0.25">
      <c r="B16" s="127">
        <v>150</v>
      </c>
      <c r="C16" s="127">
        <v>2000</v>
      </c>
      <c r="D16" s="12">
        <v>207</v>
      </c>
      <c r="E16" s="128">
        <f t="shared" si="0"/>
        <v>0.10349999999999999</v>
      </c>
      <c r="F16" s="23">
        <f t="shared" si="1"/>
        <v>382.95000000000005</v>
      </c>
      <c r="G16" s="23">
        <f t="shared" si="2"/>
        <v>382.95000000000005</v>
      </c>
      <c r="H16" s="129">
        <v>0.4</v>
      </c>
    </row>
    <row r="17" spans="2:8" x14ac:dyDescent="0.25">
      <c r="B17" s="127">
        <v>150</v>
      </c>
      <c r="C17" s="127">
        <v>2500</v>
      </c>
      <c r="D17" s="12">
        <v>153</v>
      </c>
      <c r="E17" s="128">
        <f t="shared" si="0"/>
        <v>6.1199999999999997E-2</v>
      </c>
      <c r="F17" s="23">
        <f t="shared" si="1"/>
        <v>283.05</v>
      </c>
      <c r="G17" s="23">
        <f t="shared" si="2"/>
        <v>283.05</v>
      </c>
      <c r="H17" s="129">
        <v>0.4</v>
      </c>
    </row>
    <row r="18" spans="2:8" x14ac:dyDescent="0.25">
      <c r="B18" s="127">
        <v>150</v>
      </c>
      <c r="C18" s="127">
        <v>5000</v>
      </c>
      <c r="D18" s="12">
        <v>132</v>
      </c>
      <c r="E18" s="128">
        <f t="shared" si="0"/>
        <v>2.64E-2</v>
      </c>
      <c r="F18" s="23">
        <f t="shared" si="1"/>
        <v>244.20000000000002</v>
      </c>
      <c r="G18" s="23">
        <f t="shared" si="2"/>
        <v>244.20000000000002</v>
      </c>
      <c r="H18" s="129">
        <v>0.4</v>
      </c>
    </row>
    <row r="19" spans="2:8" ht="14.45" customHeight="1" x14ac:dyDescent="0.25">
      <c r="B19" s="127">
        <v>150</v>
      </c>
      <c r="C19" s="127">
        <v>10000</v>
      </c>
      <c r="D19" s="12">
        <v>117</v>
      </c>
      <c r="E19" s="128">
        <f t="shared" si="0"/>
        <v>1.17E-2</v>
      </c>
      <c r="F19" s="23">
        <f t="shared" si="1"/>
        <v>216.45000000000002</v>
      </c>
      <c r="G19" s="23">
        <f t="shared" si="2"/>
        <v>216.45000000000002</v>
      </c>
      <c r="H19" s="129">
        <v>0.4</v>
      </c>
    </row>
    <row r="20" spans="2:8" x14ac:dyDescent="0.25">
      <c r="B20" s="127">
        <v>150</v>
      </c>
      <c r="C20" s="127">
        <v>20000</v>
      </c>
      <c r="D20" s="12">
        <v>107</v>
      </c>
      <c r="E20" s="128">
        <f t="shared" si="0"/>
        <v>5.3499999999999997E-3</v>
      </c>
      <c r="F20" s="23">
        <f t="shared" si="1"/>
        <v>197.95000000000002</v>
      </c>
      <c r="G20" s="23">
        <f t="shared" si="2"/>
        <v>197.95000000000002</v>
      </c>
      <c r="H20" s="129">
        <v>0.4</v>
      </c>
    </row>
    <row r="21" spans="2:8" x14ac:dyDescent="0.25">
      <c r="B21" s="127">
        <v>150</v>
      </c>
      <c r="C21" s="127">
        <v>50000</v>
      </c>
      <c r="D21" s="12">
        <v>96</v>
      </c>
      <c r="E21" s="128">
        <f t="shared" si="0"/>
        <v>1.92E-3</v>
      </c>
      <c r="F21" s="23">
        <f t="shared" si="1"/>
        <v>177.60000000000002</v>
      </c>
      <c r="G21" s="23">
        <f t="shared" si="2"/>
        <v>177.60000000000002</v>
      </c>
      <c r="H21" s="129">
        <v>0.4</v>
      </c>
    </row>
    <row r="22" spans="2:8" x14ac:dyDescent="0.25">
      <c r="B22" s="127">
        <v>150</v>
      </c>
      <c r="C22" s="127">
        <v>100000</v>
      </c>
      <c r="D22" s="12">
        <v>89</v>
      </c>
      <c r="E22" s="128">
        <f t="shared" si="0"/>
        <v>8.8999999999999995E-4</v>
      </c>
      <c r="F22" s="23">
        <f>+D22*(1+0.75)</f>
        <v>155.75</v>
      </c>
      <c r="G22" s="23">
        <f>+D22*(1+0.75)</f>
        <v>155.75</v>
      </c>
      <c r="H22" s="129">
        <v>0.4</v>
      </c>
    </row>
    <row r="23" spans="2:8" x14ac:dyDescent="0.25">
      <c r="B23" s="127">
        <v>125</v>
      </c>
      <c r="C23" s="127">
        <v>1000</v>
      </c>
      <c r="D23" s="12">
        <v>375</v>
      </c>
      <c r="E23" s="128">
        <f t="shared" si="0"/>
        <v>0.375</v>
      </c>
      <c r="F23" s="23">
        <f t="shared" ref="F23:F35" si="3">+D23*(1+0.85)</f>
        <v>693.75</v>
      </c>
      <c r="G23" s="23">
        <f t="shared" si="2"/>
        <v>693.75</v>
      </c>
      <c r="H23" s="129">
        <v>0.4</v>
      </c>
    </row>
    <row r="24" spans="2:8" x14ac:dyDescent="0.25">
      <c r="B24" s="127">
        <v>125</v>
      </c>
      <c r="C24" s="127">
        <v>2000</v>
      </c>
      <c r="D24" s="12">
        <v>204</v>
      </c>
      <c r="E24" s="128">
        <f t="shared" si="0"/>
        <v>0.10199999999999999</v>
      </c>
      <c r="F24" s="23">
        <f t="shared" si="3"/>
        <v>377.40000000000003</v>
      </c>
      <c r="G24" s="23">
        <f t="shared" si="2"/>
        <v>377.40000000000003</v>
      </c>
      <c r="H24" s="129">
        <v>0.4</v>
      </c>
    </row>
    <row r="25" spans="2:8" x14ac:dyDescent="0.25">
      <c r="B25" s="127">
        <v>125</v>
      </c>
      <c r="C25" s="127">
        <v>2500</v>
      </c>
      <c r="D25" s="12">
        <v>149</v>
      </c>
      <c r="E25" s="128">
        <f t="shared" si="0"/>
        <v>5.96E-2</v>
      </c>
      <c r="F25" s="23">
        <f t="shared" si="3"/>
        <v>275.65000000000003</v>
      </c>
      <c r="G25" s="23">
        <f t="shared" si="2"/>
        <v>275.65000000000003</v>
      </c>
      <c r="H25" s="129">
        <v>0.4</v>
      </c>
    </row>
    <row r="26" spans="2:8" ht="14.25" customHeight="1" x14ac:dyDescent="0.25">
      <c r="B26" s="127">
        <v>125</v>
      </c>
      <c r="C26" s="127">
        <v>5000</v>
      </c>
      <c r="D26" s="12">
        <v>127</v>
      </c>
      <c r="E26" s="128">
        <f t="shared" si="0"/>
        <v>2.5399999999999999E-2</v>
      </c>
      <c r="F26" s="23">
        <f t="shared" si="3"/>
        <v>234.95000000000002</v>
      </c>
      <c r="G26" s="23">
        <f t="shared" si="2"/>
        <v>234.95000000000002</v>
      </c>
      <c r="H26" s="129">
        <v>0.4</v>
      </c>
    </row>
    <row r="27" spans="2:8" x14ac:dyDescent="0.25">
      <c r="B27" s="127">
        <v>125</v>
      </c>
      <c r="C27" s="127">
        <v>10000</v>
      </c>
      <c r="D27" s="12">
        <v>115</v>
      </c>
      <c r="E27" s="128">
        <f t="shared" si="0"/>
        <v>1.15E-2</v>
      </c>
      <c r="F27" s="23">
        <f t="shared" si="3"/>
        <v>212.75</v>
      </c>
      <c r="G27" s="23">
        <f t="shared" si="2"/>
        <v>212.75</v>
      </c>
      <c r="H27" s="129">
        <v>0.4</v>
      </c>
    </row>
    <row r="28" spans="2:8" x14ac:dyDescent="0.25">
      <c r="B28" s="127">
        <v>125</v>
      </c>
      <c r="C28" s="127">
        <v>20000</v>
      </c>
      <c r="D28" s="12">
        <v>102</v>
      </c>
      <c r="E28" s="128">
        <f t="shared" si="0"/>
        <v>5.1000000000000004E-3</v>
      </c>
      <c r="F28" s="23">
        <f t="shared" si="3"/>
        <v>188.70000000000002</v>
      </c>
      <c r="G28" s="23">
        <f t="shared" si="2"/>
        <v>188.70000000000002</v>
      </c>
      <c r="H28" s="129">
        <v>0.4</v>
      </c>
    </row>
    <row r="29" spans="2:8" x14ac:dyDescent="0.25">
      <c r="B29" s="127">
        <v>100</v>
      </c>
      <c r="C29" s="127">
        <v>1000</v>
      </c>
      <c r="D29" s="12">
        <v>375</v>
      </c>
      <c r="E29" s="128">
        <f t="shared" si="0"/>
        <v>0.375</v>
      </c>
      <c r="F29" s="23">
        <f t="shared" si="3"/>
        <v>693.75</v>
      </c>
      <c r="G29" s="23">
        <f t="shared" si="2"/>
        <v>693.75</v>
      </c>
      <c r="H29" s="129">
        <v>0.4</v>
      </c>
    </row>
    <row r="30" spans="2:8" x14ac:dyDescent="0.25">
      <c r="B30" s="127">
        <v>100</v>
      </c>
      <c r="C30" s="127">
        <v>2000</v>
      </c>
      <c r="D30" s="12">
        <v>199</v>
      </c>
      <c r="E30" s="128">
        <f t="shared" si="0"/>
        <v>9.9500000000000005E-2</v>
      </c>
      <c r="F30" s="23">
        <f t="shared" si="3"/>
        <v>368.15000000000003</v>
      </c>
      <c r="G30" s="23">
        <f t="shared" si="2"/>
        <v>368.15000000000003</v>
      </c>
      <c r="H30" s="129">
        <v>0.4</v>
      </c>
    </row>
    <row r="31" spans="2:8" x14ac:dyDescent="0.25">
      <c r="B31" s="127">
        <v>100</v>
      </c>
      <c r="C31" s="127">
        <v>2500</v>
      </c>
      <c r="D31" s="12">
        <v>145</v>
      </c>
      <c r="E31" s="128">
        <f t="shared" si="0"/>
        <v>5.8000000000000003E-2</v>
      </c>
      <c r="F31" s="23">
        <f t="shared" si="3"/>
        <v>268.25</v>
      </c>
      <c r="G31" s="23">
        <f t="shared" si="2"/>
        <v>268.25</v>
      </c>
      <c r="H31" s="129">
        <v>0.4</v>
      </c>
    </row>
    <row r="32" spans="2:8" x14ac:dyDescent="0.25">
      <c r="B32" s="127">
        <v>100</v>
      </c>
      <c r="C32" s="127">
        <v>5000</v>
      </c>
      <c r="D32" s="12">
        <v>120</v>
      </c>
      <c r="E32" s="128">
        <f t="shared" si="0"/>
        <v>2.4E-2</v>
      </c>
      <c r="F32" s="23">
        <f t="shared" si="3"/>
        <v>222</v>
      </c>
      <c r="G32" s="23">
        <f t="shared" si="2"/>
        <v>222</v>
      </c>
      <c r="H32" s="129">
        <v>0.4</v>
      </c>
    </row>
    <row r="33" spans="2:8" x14ac:dyDescent="0.25">
      <c r="B33" s="127">
        <v>100</v>
      </c>
      <c r="C33" s="127">
        <v>10000</v>
      </c>
      <c r="D33" s="12">
        <v>111</v>
      </c>
      <c r="E33" s="128">
        <f t="shared" si="0"/>
        <v>1.11E-2</v>
      </c>
      <c r="F33" s="23">
        <f t="shared" si="3"/>
        <v>205.35000000000002</v>
      </c>
      <c r="G33" s="23">
        <f t="shared" si="2"/>
        <v>205.35000000000002</v>
      </c>
      <c r="H33" s="129">
        <v>0.4</v>
      </c>
    </row>
    <row r="34" spans="2:8" x14ac:dyDescent="0.25">
      <c r="B34" s="127">
        <v>100</v>
      </c>
      <c r="C34" s="127">
        <v>20000</v>
      </c>
      <c r="D34" s="12">
        <v>98</v>
      </c>
      <c r="E34" s="128">
        <f t="shared" si="0"/>
        <v>4.8999999999999998E-3</v>
      </c>
      <c r="F34" s="23">
        <f t="shared" si="3"/>
        <v>181.3</v>
      </c>
      <c r="G34" s="23">
        <f t="shared" si="2"/>
        <v>181.3</v>
      </c>
      <c r="H34" s="129">
        <v>0.4</v>
      </c>
    </row>
    <row r="35" spans="2:8" x14ac:dyDescent="0.25">
      <c r="B35" s="127">
        <v>100</v>
      </c>
      <c r="C35" s="127">
        <v>50000</v>
      </c>
      <c r="D35" s="12">
        <v>91</v>
      </c>
      <c r="E35" s="128">
        <f t="shared" si="0"/>
        <v>1.82E-3</v>
      </c>
      <c r="F35" s="23">
        <f t="shared" si="3"/>
        <v>168.35</v>
      </c>
      <c r="G35" s="23">
        <f t="shared" si="2"/>
        <v>168.35</v>
      </c>
      <c r="H35" s="129">
        <v>0.4</v>
      </c>
    </row>
    <row r="36" spans="2:8" x14ac:dyDescent="0.25">
      <c r="B36" s="127">
        <v>100</v>
      </c>
      <c r="C36" s="127">
        <v>100000</v>
      </c>
      <c r="D36" s="12">
        <v>84</v>
      </c>
      <c r="E36" s="128">
        <f t="shared" si="0"/>
        <v>8.4000000000000003E-4</v>
      </c>
      <c r="F36" s="23">
        <f>+D36*(1+0.75)</f>
        <v>147</v>
      </c>
      <c r="G36" s="23">
        <f>+D36*(1+0.75)</f>
        <v>147</v>
      </c>
      <c r="H36" s="129">
        <v>0.4</v>
      </c>
    </row>
    <row r="37" spans="2:8" x14ac:dyDescent="0.25">
      <c r="B37" s="12">
        <v>75</v>
      </c>
      <c r="C37" s="127">
        <v>1000</v>
      </c>
      <c r="D37" s="12">
        <v>375</v>
      </c>
      <c r="E37" s="128">
        <f t="shared" si="0"/>
        <v>0.375</v>
      </c>
      <c r="F37" s="23">
        <f t="shared" ref="F37:F43" si="4">+D37*(1+0.85)</f>
        <v>693.75</v>
      </c>
      <c r="G37" s="23">
        <f t="shared" si="2"/>
        <v>693.75</v>
      </c>
      <c r="H37" s="129">
        <v>0.4</v>
      </c>
    </row>
    <row r="38" spans="2:8" x14ac:dyDescent="0.25">
      <c r="B38" s="12">
        <v>75</v>
      </c>
      <c r="C38" s="127">
        <v>2000</v>
      </c>
      <c r="D38" s="12">
        <v>193</v>
      </c>
      <c r="E38" s="128">
        <f t="shared" si="0"/>
        <v>9.6500000000000002E-2</v>
      </c>
      <c r="F38" s="23">
        <f t="shared" si="4"/>
        <v>357.05</v>
      </c>
      <c r="G38" s="23">
        <f t="shared" si="2"/>
        <v>357.05</v>
      </c>
      <c r="H38" s="129">
        <v>0.4</v>
      </c>
    </row>
    <row r="39" spans="2:8" x14ac:dyDescent="0.25">
      <c r="B39" s="12">
        <v>75</v>
      </c>
      <c r="C39" s="127">
        <v>2500</v>
      </c>
      <c r="D39" s="12">
        <v>140</v>
      </c>
      <c r="E39" s="128">
        <f t="shared" si="0"/>
        <v>5.6000000000000001E-2</v>
      </c>
      <c r="F39" s="23">
        <f t="shared" si="4"/>
        <v>259</v>
      </c>
      <c r="G39" s="23">
        <f t="shared" si="2"/>
        <v>259</v>
      </c>
      <c r="H39" s="129">
        <v>0.4</v>
      </c>
    </row>
    <row r="40" spans="2:8" x14ac:dyDescent="0.25">
      <c r="B40" s="12">
        <v>75</v>
      </c>
      <c r="C40" s="127">
        <v>5000</v>
      </c>
      <c r="D40" s="12">
        <v>116</v>
      </c>
      <c r="E40" s="128">
        <f t="shared" ref="E40:E68" si="5">+D40/C40</f>
        <v>2.3199999999999998E-2</v>
      </c>
      <c r="F40" s="23">
        <f t="shared" si="4"/>
        <v>214.60000000000002</v>
      </c>
      <c r="G40" s="23">
        <f t="shared" si="2"/>
        <v>214.60000000000002</v>
      </c>
      <c r="H40" s="129">
        <v>0.4</v>
      </c>
    </row>
    <row r="41" spans="2:8" x14ac:dyDescent="0.25">
      <c r="B41" s="12">
        <v>75</v>
      </c>
      <c r="C41" s="127">
        <v>10000</v>
      </c>
      <c r="D41" s="12">
        <v>105</v>
      </c>
      <c r="E41" s="128">
        <f t="shared" si="5"/>
        <v>1.0500000000000001E-2</v>
      </c>
      <c r="F41" s="23">
        <f t="shared" si="4"/>
        <v>194.25</v>
      </c>
      <c r="G41" s="23">
        <f t="shared" si="2"/>
        <v>194.25</v>
      </c>
      <c r="H41" s="129">
        <v>0.4</v>
      </c>
    </row>
    <row r="42" spans="2:8" x14ac:dyDescent="0.25">
      <c r="B42" s="12">
        <v>75</v>
      </c>
      <c r="C42" s="127">
        <v>20000</v>
      </c>
      <c r="D42" s="12">
        <v>94</v>
      </c>
      <c r="E42" s="128">
        <f t="shared" si="5"/>
        <v>4.7000000000000002E-3</v>
      </c>
      <c r="F42" s="23">
        <f t="shared" si="4"/>
        <v>173.9</v>
      </c>
      <c r="G42" s="23">
        <f t="shared" si="2"/>
        <v>173.9</v>
      </c>
      <c r="H42" s="129">
        <v>0.4</v>
      </c>
    </row>
    <row r="43" spans="2:8" x14ac:dyDescent="0.25">
      <c r="B43" s="12">
        <v>75</v>
      </c>
      <c r="C43" s="127">
        <v>50000</v>
      </c>
      <c r="D43" s="12">
        <v>87</v>
      </c>
      <c r="E43" s="128">
        <f t="shared" si="5"/>
        <v>1.74E-3</v>
      </c>
      <c r="F43" s="23">
        <f t="shared" si="4"/>
        <v>160.95000000000002</v>
      </c>
      <c r="G43" s="23">
        <f t="shared" si="2"/>
        <v>160.95000000000002</v>
      </c>
      <c r="H43" s="129">
        <v>0.4</v>
      </c>
    </row>
    <row r="44" spans="2:8" x14ac:dyDescent="0.25">
      <c r="B44" s="12">
        <v>75</v>
      </c>
      <c r="C44" s="127">
        <v>100000</v>
      </c>
      <c r="D44" s="12">
        <v>80</v>
      </c>
      <c r="E44" s="128">
        <f t="shared" si="5"/>
        <v>8.0000000000000004E-4</v>
      </c>
      <c r="F44" s="23">
        <f>+D44*(1+0.75)</f>
        <v>140</v>
      </c>
      <c r="G44" s="23">
        <f>+D44*(1+0.75)</f>
        <v>140</v>
      </c>
      <c r="H44" s="129">
        <v>0.4</v>
      </c>
    </row>
    <row r="45" spans="2:8" x14ac:dyDescent="0.25">
      <c r="B45" s="12">
        <v>50</v>
      </c>
      <c r="C45" s="127">
        <v>1000</v>
      </c>
      <c r="D45" s="12">
        <v>375</v>
      </c>
      <c r="E45" s="128">
        <f t="shared" si="5"/>
        <v>0.375</v>
      </c>
      <c r="F45" s="23">
        <f t="shared" ref="F45:F51" si="6">+D45*(1+0.85)</f>
        <v>693.75</v>
      </c>
      <c r="G45" s="23">
        <f t="shared" si="2"/>
        <v>693.75</v>
      </c>
      <c r="H45" s="129">
        <v>0.4</v>
      </c>
    </row>
    <row r="46" spans="2:8" x14ac:dyDescent="0.25">
      <c r="B46" s="12">
        <v>50</v>
      </c>
      <c r="C46" s="127">
        <v>2000</v>
      </c>
      <c r="D46" s="12">
        <v>193</v>
      </c>
      <c r="E46" s="128">
        <f t="shared" si="5"/>
        <v>9.6500000000000002E-2</v>
      </c>
      <c r="F46" s="23">
        <f t="shared" si="6"/>
        <v>357.05</v>
      </c>
      <c r="G46" s="23">
        <f t="shared" si="2"/>
        <v>357.05</v>
      </c>
      <c r="H46" s="129">
        <v>0.4</v>
      </c>
    </row>
    <row r="47" spans="2:8" x14ac:dyDescent="0.25">
      <c r="B47" s="12">
        <v>50</v>
      </c>
      <c r="C47" s="127">
        <v>2500</v>
      </c>
      <c r="D47" s="12">
        <v>140</v>
      </c>
      <c r="E47" s="128">
        <f t="shared" si="5"/>
        <v>5.6000000000000001E-2</v>
      </c>
      <c r="F47" s="23">
        <f t="shared" si="6"/>
        <v>259</v>
      </c>
      <c r="G47" s="23">
        <f t="shared" si="2"/>
        <v>259</v>
      </c>
      <c r="H47" s="129">
        <v>0.4</v>
      </c>
    </row>
    <row r="48" spans="2:8" x14ac:dyDescent="0.25">
      <c r="B48" s="12">
        <v>50</v>
      </c>
      <c r="C48" s="127">
        <v>5000</v>
      </c>
      <c r="D48" s="12">
        <v>116</v>
      </c>
      <c r="E48" s="128">
        <f t="shared" si="5"/>
        <v>2.3199999999999998E-2</v>
      </c>
      <c r="F48" s="23">
        <f t="shared" si="6"/>
        <v>214.60000000000002</v>
      </c>
      <c r="G48" s="23">
        <f t="shared" si="2"/>
        <v>214.60000000000002</v>
      </c>
      <c r="H48" s="129">
        <v>0.4</v>
      </c>
    </row>
    <row r="49" spans="2:8" x14ac:dyDescent="0.25">
      <c r="B49" s="12">
        <v>50</v>
      </c>
      <c r="C49" s="127">
        <v>10000</v>
      </c>
      <c r="D49" s="12">
        <v>105</v>
      </c>
      <c r="E49" s="128">
        <f t="shared" si="5"/>
        <v>1.0500000000000001E-2</v>
      </c>
      <c r="F49" s="23">
        <f t="shared" si="6"/>
        <v>194.25</v>
      </c>
      <c r="G49" s="23">
        <f t="shared" si="2"/>
        <v>194.25</v>
      </c>
      <c r="H49" s="129">
        <v>0.4</v>
      </c>
    </row>
    <row r="50" spans="2:8" x14ac:dyDescent="0.25">
      <c r="B50" s="12">
        <v>50</v>
      </c>
      <c r="C50" s="127">
        <v>20000</v>
      </c>
      <c r="D50" s="12">
        <v>94</v>
      </c>
      <c r="E50" s="128">
        <f t="shared" si="5"/>
        <v>4.7000000000000002E-3</v>
      </c>
      <c r="F50" s="23">
        <f t="shared" si="6"/>
        <v>173.9</v>
      </c>
      <c r="G50" s="23">
        <f t="shared" si="2"/>
        <v>173.9</v>
      </c>
      <c r="H50" s="129">
        <v>0.4</v>
      </c>
    </row>
    <row r="51" spans="2:8" x14ac:dyDescent="0.25">
      <c r="B51" s="12">
        <v>50</v>
      </c>
      <c r="C51" s="127">
        <v>50000</v>
      </c>
      <c r="D51" s="12">
        <v>87</v>
      </c>
      <c r="E51" s="128">
        <f t="shared" si="5"/>
        <v>1.74E-3</v>
      </c>
      <c r="F51" s="23">
        <f t="shared" si="6"/>
        <v>160.95000000000002</v>
      </c>
      <c r="G51" s="23">
        <f t="shared" si="2"/>
        <v>160.95000000000002</v>
      </c>
      <c r="H51" s="129">
        <v>0.4</v>
      </c>
    </row>
    <row r="52" spans="2:8" x14ac:dyDescent="0.25">
      <c r="B52" s="12">
        <v>50</v>
      </c>
      <c r="C52" s="127">
        <v>100000</v>
      </c>
      <c r="D52" s="12">
        <v>80</v>
      </c>
      <c r="E52" s="128">
        <f t="shared" si="5"/>
        <v>8.0000000000000004E-4</v>
      </c>
      <c r="F52" s="23">
        <f>+D52*(1+0.75)</f>
        <v>140</v>
      </c>
      <c r="G52" s="23">
        <f>+D52*(1+0.75)</f>
        <v>140</v>
      </c>
      <c r="H52" s="129">
        <v>0.4</v>
      </c>
    </row>
    <row r="53" spans="2:8" x14ac:dyDescent="0.25">
      <c r="B53" s="12">
        <v>30</v>
      </c>
      <c r="C53" s="127">
        <v>1000</v>
      </c>
      <c r="D53" s="12">
        <v>375</v>
      </c>
      <c r="E53" s="128">
        <f t="shared" si="5"/>
        <v>0.375</v>
      </c>
      <c r="F53" s="23">
        <f t="shared" ref="F53:F59" si="7">+D53*(1+0.85)</f>
        <v>693.75</v>
      </c>
      <c r="G53" s="23">
        <f t="shared" si="2"/>
        <v>693.75</v>
      </c>
      <c r="H53" s="129">
        <v>0.4</v>
      </c>
    </row>
    <row r="54" spans="2:8" x14ac:dyDescent="0.25">
      <c r="B54" s="12">
        <v>30</v>
      </c>
      <c r="C54" s="127">
        <v>2000</v>
      </c>
      <c r="D54" s="12">
        <v>188</v>
      </c>
      <c r="E54" s="128">
        <f t="shared" si="5"/>
        <v>9.4E-2</v>
      </c>
      <c r="F54" s="23">
        <f t="shared" si="7"/>
        <v>347.8</v>
      </c>
      <c r="G54" s="23">
        <f t="shared" si="2"/>
        <v>347.8</v>
      </c>
      <c r="H54" s="129">
        <v>0.4</v>
      </c>
    </row>
    <row r="55" spans="2:8" x14ac:dyDescent="0.25">
      <c r="B55" s="12">
        <v>30</v>
      </c>
      <c r="C55" s="127">
        <v>2500</v>
      </c>
      <c r="D55" s="12">
        <v>137</v>
      </c>
      <c r="E55" s="128">
        <f t="shared" si="5"/>
        <v>5.4800000000000001E-2</v>
      </c>
      <c r="F55" s="23">
        <f t="shared" si="7"/>
        <v>253.45000000000002</v>
      </c>
      <c r="G55" s="23">
        <f t="shared" si="2"/>
        <v>253.45000000000002</v>
      </c>
      <c r="H55" s="129">
        <v>0.4</v>
      </c>
    </row>
    <row r="56" spans="2:8" x14ac:dyDescent="0.25">
      <c r="B56" s="12">
        <v>30</v>
      </c>
      <c r="C56" s="127">
        <v>5000</v>
      </c>
      <c r="D56" s="12">
        <v>112</v>
      </c>
      <c r="E56" s="128">
        <f t="shared" si="5"/>
        <v>2.24E-2</v>
      </c>
      <c r="F56" s="23">
        <f t="shared" si="7"/>
        <v>207.20000000000002</v>
      </c>
      <c r="G56" s="23">
        <f t="shared" si="2"/>
        <v>207.20000000000002</v>
      </c>
      <c r="H56" s="129">
        <v>0.4</v>
      </c>
    </row>
    <row r="57" spans="2:8" x14ac:dyDescent="0.25">
      <c r="B57" s="12">
        <v>30</v>
      </c>
      <c r="C57" s="127">
        <v>10000</v>
      </c>
      <c r="D57" s="12">
        <v>98</v>
      </c>
      <c r="E57" s="128">
        <f t="shared" si="5"/>
        <v>9.7999999999999997E-3</v>
      </c>
      <c r="F57" s="23">
        <f t="shared" si="7"/>
        <v>181.3</v>
      </c>
      <c r="G57" s="23">
        <f t="shared" si="2"/>
        <v>181.3</v>
      </c>
      <c r="H57" s="129">
        <v>0.4</v>
      </c>
    </row>
    <row r="58" spans="2:8" x14ac:dyDescent="0.25">
      <c r="B58" s="12">
        <v>30</v>
      </c>
      <c r="C58" s="127">
        <v>20000</v>
      </c>
      <c r="D58" s="12">
        <v>89</v>
      </c>
      <c r="E58" s="128">
        <f t="shared" si="5"/>
        <v>4.45E-3</v>
      </c>
      <c r="F58" s="23">
        <f t="shared" si="7"/>
        <v>164.65</v>
      </c>
      <c r="G58" s="23">
        <f t="shared" si="2"/>
        <v>164.65</v>
      </c>
      <c r="H58" s="129">
        <v>0.4</v>
      </c>
    </row>
    <row r="59" spans="2:8" x14ac:dyDescent="0.25">
      <c r="B59" s="12">
        <v>30</v>
      </c>
      <c r="C59" s="127">
        <v>50000</v>
      </c>
      <c r="D59" s="12">
        <v>81</v>
      </c>
      <c r="E59" s="128">
        <f t="shared" si="5"/>
        <v>1.6199999999999999E-3</v>
      </c>
      <c r="F59" s="23">
        <f t="shared" si="7"/>
        <v>149.85</v>
      </c>
      <c r="G59" s="23">
        <f t="shared" si="2"/>
        <v>149.85</v>
      </c>
      <c r="H59" s="129">
        <v>0.4</v>
      </c>
    </row>
    <row r="60" spans="2:8" x14ac:dyDescent="0.25">
      <c r="B60" s="12">
        <v>30</v>
      </c>
      <c r="C60" s="127">
        <v>100000</v>
      </c>
      <c r="D60" s="12">
        <v>76</v>
      </c>
      <c r="E60" s="128">
        <f t="shared" si="5"/>
        <v>7.6000000000000004E-4</v>
      </c>
      <c r="F60" s="23">
        <f>+D60*(1+0.75)</f>
        <v>133</v>
      </c>
      <c r="G60" s="23">
        <f>+D60*(1+0.75)</f>
        <v>133</v>
      </c>
      <c r="H60" s="129">
        <v>0.4</v>
      </c>
    </row>
    <row r="61" spans="2:8" x14ac:dyDescent="0.25">
      <c r="B61" s="12">
        <v>15</v>
      </c>
      <c r="C61" s="127">
        <v>1000</v>
      </c>
      <c r="D61" s="12">
        <v>375</v>
      </c>
      <c r="E61" s="128">
        <f t="shared" si="5"/>
        <v>0.375</v>
      </c>
      <c r="F61" s="23">
        <f t="shared" ref="F61:F67" si="8">+D61*(1+0.85)</f>
        <v>693.75</v>
      </c>
      <c r="G61" s="23">
        <f t="shared" si="2"/>
        <v>693.75</v>
      </c>
      <c r="H61" s="129">
        <v>0.4</v>
      </c>
    </row>
    <row r="62" spans="2:8" x14ac:dyDescent="0.25">
      <c r="B62" s="12">
        <v>15</v>
      </c>
      <c r="C62" s="127">
        <v>2000</v>
      </c>
      <c r="D62" s="12">
        <v>188</v>
      </c>
      <c r="E62" s="128">
        <f t="shared" si="5"/>
        <v>9.4E-2</v>
      </c>
      <c r="F62" s="23">
        <f t="shared" si="8"/>
        <v>347.8</v>
      </c>
      <c r="G62" s="23">
        <f t="shared" si="2"/>
        <v>347.8</v>
      </c>
      <c r="H62" s="129">
        <v>0.4</v>
      </c>
    </row>
    <row r="63" spans="2:8" x14ac:dyDescent="0.25">
      <c r="B63" s="12">
        <v>15</v>
      </c>
      <c r="C63" s="127">
        <v>2500</v>
      </c>
      <c r="D63" s="12">
        <v>137</v>
      </c>
      <c r="E63" s="128">
        <f t="shared" si="5"/>
        <v>5.4800000000000001E-2</v>
      </c>
      <c r="F63" s="23">
        <f t="shared" si="8"/>
        <v>253.45000000000002</v>
      </c>
      <c r="G63" s="23">
        <f t="shared" si="2"/>
        <v>253.45000000000002</v>
      </c>
      <c r="H63" s="129">
        <v>0.4</v>
      </c>
    </row>
    <row r="64" spans="2:8" x14ac:dyDescent="0.25">
      <c r="B64" s="12">
        <v>15</v>
      </c>
      <c r="C64" s="127">
        <v>5000</v>
      </c>
      <c r="D64" s="12">
        <v>112</v>
      </c>
      <c r="E64" s="128">
        <f t="shared" si="5"/>
        <v>2.24E-2</v>
      </c>
      <c r="F64" s="23">
        <f t="shared" si="8"/>
        <v>207.20000000000002</v>
      </c>
      <c r="G64" s="23">
        <f t="shared" si="2"/>
        <v>207.20000000000002</v>
      </c>
      <c r="H64" s="129">
        <v>0.4</v>
      </c>
    </row>
    <row r="65" spans="2:8" x14ac:dyDescent="0.25">
      <c r="B65" s="12">
        <v>15</v>
      </c>
      <c r="C65" s="127">
        <v>10000</v>
      </c>
      <c r="D65" s="12">
        <v>98</v>
      </c>
      <c r="E65" s="128">
        <f t="shared" si="5"/>
        <v>9.7999999999999997E-3</v>
      </c>
      <c r="F65" s="23">
        <f t="shared" si="8"/>
        <v>181.3</v>
      </c>
      <c r="G65" s="23">
        <f t="shared" si="2"/>
        <v>181.3</v>
      </c>
      <c r="H65" s="129">
        <v>0.4</v>
      </c>
    </row>
    <row r="66" spans="2:8" x14ac:dyDescent="0.25">
      <c r="B66" s="12">
        <v>15</v>
      </c>
      <c r="C66" s="127">
        <v>20000</v>
      </c>
      <c r="D66" s="12">
        <v>89</v>
      </c>
      <c r="E66" s="128">
        <f t="shared" si="5"/>
        <v>4.45E-3</v>
      </c>
      <c r="F66" s="23">
        <f t="shared" si="8"/>
        <v>164.65</v>
      </c>
      <c r="G66" s="23">
        <f t="shared" si="2"/>
        <v>164.65</v>
      </c>
      <c r="H66" s="129">
        <v>0.4</v>
      </c>
    </row>
    <row r="67" spans="2:8" x14ac:dyDescent="0.25">
      <c r="B67" s="12">
        <v>15</v>
      </c>
      <c r="C67" s="127">
        <v>50000</v>
      </c>
      <c r="D67" s="12">
        <v>81</v>
      </c>
      <c r="E67" s="128">
        <f t="shared" si="5"/>
        <v>1.6199999999999999E-3</v>
      </c>
      <c r="F67" s="23">
        <f t="shared" si="8"/>
        <v>149.85</v>
      </c>
      <c r="G67" s="23">
        <f t="shared" si="2"/>
        <v>149.85</v>
      </c>
      <c r="H67" s="129">
        <v>0.4</v>
      </c>
    </row>
    <row r="68" spans="2:8" x14ac:dyDescent="0.25">
      <c r="B68" s="12">
        <v>15</v>
      </c>
      <c r="C68" s="127">
        <v>100000</v>
      </c>
      <c r="D68" s="12">
        <v>76</v>
      </c>
      <c r="E68" s="128">
        <f t="shared" si="5"/>
        <v>7.6000000000000004E-4</v>
      </c>
      <c r="F68" s="23">
        <f>+D68*(1+0.75)</f>
        <v>133</v>
      </c>
      <c r="G68" s="23">
        <f>+D68*(1+0.75)</f>
        <v>133</v>
      </c>
      <c r="H68" s="129">
        <v>0.4</v>
      </c>
    </row>
  </sheetData>
  <autoFilter ref="B7:G68" xr:uid="{64B09F08-A582-4B62-8878-65586D51ED03}"/>
  <pageMargins left="0.7" right="0.7" top="0.75" bottom="0.75" header="0.3" footer="0.3"/>
  <ignoredErrors>
    <ignoredError sqref="F36:G52 F60:G60 F22:G22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/>
  <dimension ref="A1:S119"/>
  <sheetViews>
    <sheetView workbookViewId="0">
      <selection activeCell="T23" sqref="T23"/>
    </sheetView>
  </sheetViews>
  <sheetFormatPr baseColWidth="10" defaultRowHeight="15" x14ac:dyDescent="0.25"/>
  <cols>
    <col min="1" max="1" width="12.7109375" customWidth="1"/>
    <col min="2" max="18" width="6.7109375" customWidth="1"/>
  </cols>
  <sheetData>
    <row r="1" spans="1:19" ht="18.75" x14ac:dyDescent="0.3">
      <c r="A1" s="4" t="s">
        <v>0</v>
      </c>
      <c r="B1" s="11">
        <v>5.12</v>
      </c>
      <c r="L1">
        <v>17</v>
      </c>
      <c r="N1">
        <v>210</v>
      </c>
      <c r="O1">
        <v>26</v>
      </c>
      <c r="R1">
        <v>239</v>
      </c>
    </row>
    <row r="2" spans="1:19" ht="15.75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9" ht="15.75" x14ac:dyDescent="0.25">
      <c r="A3" s="8" t="s">
        <v>14</v>
      </c>
      <c r="B3" s="9">
        <v>50</v>
      </c>
      <c r="C3" s="9">
        <v>60</v>
      </c>
      <c r="D3" s="9">
        <v>70</v>
      </c>
      <c r="E3" s="9">
        <v>80</v>
      </c>
      <c r="F3" s="9">
        <v>90</v>
      </c>
      <c r="G3" s="9">
        <v>100</v>
      </c>
      <c r="H3" s="9">
        <v>125</v>
      </c>
      <c r="I3" s="9">
        <v>130</v>
      </c>
      <c r="J3" s="9">
        <v>140</v>
      </c>
      <c r="K3" s="9">
        <v>150</v>
      </c>
      <c r="L3" s="9">
        <v>160</v>
      </c>
      <c r="M3" s="9">
        <v>170</v>
      </c>
      <c r="N3" s="9">
        <v>180</v>
      </c>
      <c r="O3" s="9">
        <v>190</v>
      </c>
      <c r="P3" s="9">
        <v>200</v>
      </c>
      <c r="Q3" s="9">
        <v>210</v>
      </c>
      <c r="R3" s="9">
        <v>220</v>
      </c>
    </row>
    <row r="4" spans="1:19" x14ac:dyDescent="0.25">
      <c r="A4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9" x14ac:dyDescent="0.25">
      <c r="A5" t="s">
        <v>9</v>
      </c>
      <c r="B5" s="12">
        <f>(B4/60)*R1/B3</f>
        <v>0</v>
      </c>
      <c r="C5" s="5">
        <f>(C4/60)*R1/C3</f>
        <v>0</v>
      </c>
      <c r="D5" s="5">
        <f>(D4/60)*R1/D3</f>
        <v>0</v>
      </c>
      <c r="E5" s="5">
        <f>(E4/60)*R1/E3</f>
        <v>0</v>
      </c>
      <c r="F5" s="5">
        <f>(F4/60)*R1/F3</f>
        <v>0</v>
      </c>
      <c r="G5" s="5">
        <f>(G4/60)*R1/G3</f>
        <v>0</v>
      </c>
      <c r="H5" s="5">
        <f>(H4/60)*R1/H3</f>
        <v>0</v>
      </c>
      <c r="I5" s="5">
        <f>(I4/60)*R1/I3</f>
        <v>0</v>
      </c>
      <c r="J5" s="5">
        <f>(J4/60)*R1/J3</f>
        <v>0</v>
      </c>
      <c r="K5" s="5">
        <f>(K4/60)*R1/K3</f>
        <v>0</v>
      </c>
      <c r="L5" s="5">
        <f>(L4/60)*R1/L3</f>
        <v>0</v>
      </c>
      <c r="M5" s="5">
        <f>(M4/60)*R1/M3</f>
        <v>0</v>
      </c>
      <c r="N5" s="5">
        <f>(N4/60)*R1/N3</f>
        <v>0</v>
      </c>
      <c r="O5" s="5">
        <f>(O4/60)*R1/O3</f>
        <v>0</v>
      </c>
      <c r="P5" s="5">
        <f>(P4/60)*R1/P3</f>
        <v>0</v>
      </c>
      <c r="Q5" s="5">
        <f>(Q4/60)*R1/Q3</f>
        <v>0</v>
      </c>
      <c r="R5" s="5">
        <f>(R4/60)*R1/R3</f>
        <v>0</v>
      </c>
    </row>
    <row r="6" spans="1:19" x14ac:dyDescent="0.25">
      <c r="A6" t="s">
        <v>16</v>
      </c>
      <c r="B6" s="12">
        <f>Q1/B3</f>
        <v>0</v>
      </c>
      <c r="C6" s="12">
        <f>Q1/C3</f>
        <v>0</v>
      </c>
      <c r="D6" s="5">
        <f>Q1/D3</f>
        <v>0</v>
      </c>
      <c r="E6" s="5">
        <f>Q1/E3</f>
        <v>0</v>
      </c>
      <c r="F6" s="5">
        <f>Q1/F3</f>
        <v>0</v>
      </c>
      <c r="G6" s="12">
        <f>Q1/G3</f>
        <v>0</v>
      </c>
      <c r="H6" s="5">
        <f>Q1/H3</f>
        <v>0</v>
      </c>
      <c r="I6" s="5">
        <f>Q1/I3</f>
        <v>0</v>
      </c>
      <c r="J6" s="12">
        <f>Q1/J3</f>
        <v>0</v>
      </c>
      <c r="K6" s="12">
        <f>Q1/K3</f>
        <v>0</v>
      </c>
      <c r="L6" s="5">
        <f>Q1/L3</f>
        <v>0</v>
      </c>
      <c r="M6" s="5">
        <f>Q1/M3</f>
        <v>0</v>
      </c>
      <c r="N6" s="5">
        <f>Q1/N3</f>
        <v>0</v>
      </c>
      <c r="O6" s="5">
        <f>Q1/O3</f>
        <v>0</v>
      </c>
      <c r="P6" s="5">
        <f>Q1/P3</f>
        <v>0</v>
      </c>
      <c r="Q6" s="5">
        <f>Q1/Q3</f>
        <v>0</v>
      </c>
      <c r="R6" s="5">
        <f>Q1/R3</f>
        <v>0</v>
      </c>
    </row>
    <row r="7" spans="1:19" x14ac:dyDescent="0.25">
      <c r="A7" t="s">
        <v>15</v>
      </c>
      <c r="B7" s="5">
        <f>P1/B3</f>
        <v>0</v>
      </c>
      <c r="C7" s="5">
        <f>P1/C3</f>
        <v>0</v>
      </c>
      <c r="D7" s="5">
        <f>P1/D3</f>
        <v>0</v>
      </c>
      <c r="E7" s="5">
        <f>P1/E3</f>
        <v>0</v>
      </c>
      <c r="F7" s="5">
        <f>P1/F3</f>
        <v>0</v>
      </c>
      <c r="G7" s="5">
        <f>P1/G3</f>
        <v>0</v>
      </c>
      <c r="H7" s="5">
        <f>P1/H3</f>
        <v>0</v>
      </c>
      <c r="I7" s="5">
        <f>P1/I3</f>
        <v>0</v>
      </c>
      <c r="J7" s="5">
        <f>P1/J3</f>
        <v>0</v>
      </c>
      <c r="K7" s="5">
        <f>P1/K3</f>
        <v>0</v>
      </c>
      <c r="L7" s="5">
        <f>P1/L3</f>
        <v>0</v>
      </c>
      <c r="M7" s="5">
        <f>P1/M3</f>
        <v>0</v>
      </c>
      <c r="N7" s="5">
        <f>P1/N3</f>
        <v>0</v>
      </c>
      <c r="O7" s="5">
        <f>P1/O3</f>
        <v>0</v>
      </c>
      <c r="P7" s="5">
        <f>P1/P3</f>
        <v>0</v>
      </c>
      <c r="Q7" s="5">
        <f>P1/Q3</f>
        <v>0</v>
      </c>
      <c r="R7" s="5">
        <f>P1/R3</f>
        <v>0</v>
      </c>
    </row>
    <row r="8" spans="1:19" x14ac:dyDescent="0.25">
      <c r="A8" t="s">
        <v>2</v>
      </c>
      <c r="B8" s="12">
        <f>O1/B3</f>
        <v>0.52</v>
      </c>
      <c r="C8" s="12">
        <f>O1/C3</f>
        <v>0.43333333333333335</v>
      </c>
      <c r="D8" s="5">
        <f>O1/D3</f>
        <v>0.37142857142857144</v>
      </c>
      <c r="E8" s="5">
        <f>P1/E3</f>
        <v>0</v>
      </c>
      <c r="F8" s="5">
        <f>O1/F3</f>
        <v>0.28888888888888886</v>
      </c>
      <c r="G8" s="12">
        <f>O1/G3</f>
        <v>0.26</v>
      </c>
      <c r="H8" s="5">
        <f>O1*2/H3</f>
        <v>0.41599999999999998</v>
      </c>
      <c r="I8" s="5">
        <f>O1*2/I3</f>
        <v>0.4</v>
      </c>
      <c r="J8" s="5">
        <f>O1*2/J3</f>
        <v>0.37142857142857144</v>
      </c>
      <c r="K8" s="12">
        <f>O1*2/K3</f>
        <v>0.34666666666666668</v>
      </c>
      <c r="L8" s="5">
        <f>O1*2/L3</f>
        <v>0.32500000000000001</v>
      </c>
      <c r="M8" s="5">
        <f>O1*2/M3</f>
        <v>0.30588235294117649</v>
      </c>
      <c r="N8" s="5">
        <f>O1*2/N3</f>
        <v>0.28888888888888886</v>
      </c>
      <c r="O8" s="5">
        <f>O1*2/O3</f>
        <v>0.27368421052631581</v>
      </c>
      <c r="P8" s="5">
        <f>O1*2/P3</f>
        <v>0.26</v>
      </c>
      <c r="Q8" s="5">
        <f>O1*2/Q3</f>
        <v>0.24761904761904763</v>
      </c>
      <c r="R8" s="5">
        <f>O1*3/R3</f>
        <v>0.35454545454545455</v>
      </c>
    </row>
    <row r="9" spans="1:19" x14ac:dyDescent="0.25">
      <c r="A9" s="1" t="s">
        <v>3</v>
      </c>
      <c r="B9" s="2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9" x14ac:dyDescent="0.25">
      <c r="A10" s="1" t="s">
        <v>4</v>
      </c>
      <c r="B10" s="21"/>
      <c r="C10" s="12"/>
      <c r="D10" s="12"/>
      <c r="E10" s="12"/>
      <c r="F10" s="12"/>
      <c r="G10" s="12"/>
      <c r="H10" s="5">
        <f>M1/H3</f>
        <v>0</v>
      </c>
      <c r="I10" s="5">
        <f>M1/I3</f>
        <v>0</v>
      </c>
      <c r="J10" s="5">
        <f>M1/J3</f>
        <v>0</v>
      </c>
      <c r="K10" s="5">
        <f>M1/K3</f>
        <v>0</v>
      </c>
      <c r="L10" s="5">
        <f>M1/L3</f>
        <v>0</v>
      </c>
      <c r="M10" s="5">
        <f>M1/M3</f>
        <v>0</v>
      </c>
      <c r="N10" s="5">
        <f>M1/N3</f>
        <v>0</v>
      </c>
      <c r="O10" s="5">
        <f>M1/O3</f>
        <v>0</v>
      </c>
      <c r="P10" s="5">
        <f>M1/P3</f>
        <v>0</v>
      </c>
      <c r="Q10" s="5">
        <f>M1/Q3</f>
        <v>0</v>
      </c>
      <c r="R10" s="5">
        <f>M1/R3</f>
        <v>0</v>
      </c>
    </row>
    <row r="11" spans="1:19" x14ac:dyDescent="0.25">
      <c r="A11" s="1" t="s">
        <v>5</v>
      </c>
      <c r="B11" s="21"/>
      <c r="C11" s="12"/>
      <c r="D11" s="12"/>
      <c r="E11" s="12"/>
      <c r="F11" s="12"/>
      <c r="G11" s="12"/>
      <c r="H11" s="5">
        <f>L1/H3</f>
        <v>0.13600000000000001</v>
      </c>
      <c r="I11" s="5">
        <f>L1/I3</f>
        <v>0.13076923076923078</v>
      </c>
      <c r="J11" s="5">
        <f>L1/J3</f>
        <v>0.12142857142857143</v>
      </c>
      <c r="K11" s="5">
        <f>L1/K3</f>
        <v>0.11333333333333333</v>
      </c>
      <c r="L11" s="5">
        <f>L1/L3</f>
        <v>0.10625</v>
      </c>
      <c r="M11" s="5">
        <f>L1/M3</f>
        <v>0.1</v>
      </c>
      <c r="N11" s="5">
        <f>L1/N3</f>
        <v>9.4444444444444442E-2</v>
      </c>
      <c r="O11" s="5">
        <f>L1/O3</f>
        <v>8.9473684210526316E-2</v>
      </c>
      <c r="P11" s="12">
        <f>L1/P3</f>
        <v>8.5000000000000006E-2</v>
      </c>
      <c r="Q11" s="5">
        <f>L1/Q3</f>
        <v>8.0952380952380956E-2</v>
      </c>
      <c r="R11" s="5">
        <f>L1/R3</f>
        <v>7.7272727272727271E-2</v>
      </c>
    </row>
    <row r="12" spans="1:19" x14ac:dyDescent="0.25">
      <c r="A12" s="2" t="s">
        <v>8</v>
      </c>
      <c r="B12" s="5">
        <f>SUM(B1+B5+B6+B7+B8)</f>
        <v>5.6400000000000006</v>
      </c>
      <c r="C12" s="5">
        <f>(B1+C5+C6+C7+C8+C9+C10+C11)</f>
        <v>5.5533333333333337</v>
      </c>
      <c r="D12" s="5">
        <f>(B1+D5+D6+D7+D8+D9+D10+D11)</f>
        <v>5.4914285714285711</v>
      </c>
      <c r="E12" s="5">
        <f>(B1+E5+E6+E7+E8+E9+E10+E11)</f>
        <v>5.12</v>
      </c>
      <c r="F12" s="5">
        <f>(B1+F5+F6+F7+F8+F9+F10+F11)</f>
        <v>5.4088888888888889</v>
      </c>
      <c r="G12" s="5">
        <f>(B1+G5+G6+G7+G8+G9+G10+G11)</f>
        <v>5.38</v>
      </c>
      <c r="H12" s="5">
        <f>(B1+H5+H6+H7+H8+H9+H10+H11)</f>
        <v>5.6720000000000006</v>
      </c>
      <c r="I12" s="5">
        <f>(B1+I5+I6+I7+I8+I9+I10+I11)</f>
        <v>5.6507692307692317</v>
      </c>
      <c r="J12" s="5">
        <f>(B1+J5+J6+J7+J8+J9+J10+J11)</f>
        <v>5.6128571428571421</v>
      </c>
      <c r="K12" s="5">
        <f>(B1+K5+K6+K7+K8+K9+K10+K11)</f>
        <v>5.58</v>
      </c>
      <c r="L12" s="5">
        <f>(B1+L5+L6+L7+L8+L9+L10+L11)</f>
        <v>5.5512500000000005</v>
      </c>
      <c r="M12" s="5">
        <f>(B1+M5+M6+M7+M8+M9+M10+M11)</f>
        <v>5.525882352941176</v>
      </c>
      <c r="N12" s="5">
        <f>(B1+N5+N6+N7+N8+N9+N10+N11)</f>
        <v>5.503333333333333</v>
      </c>
      <c r="O12" s="5">
        <f>(B1+O5+O6+O7+O8+O9+O10+O11)</f>
        <v>5.4831578947368422</v>
      </c>
      <c r="P12" s="5">
        <f>(B1+P5+P6+P7+P8+P9+P10+P11)</f>
        <v>5.4649999999999999</v>
      </c>
      <c r="Q12" s="5">
        <f>(B1+Q5+Q6+Q7+Q8+Q9+Q10+Q11)</f>
        <v>5.4485714285714284</v>
      </c>
      <c r="R12" s="5">
        <f>(B1+R5+R6+R7+R8+R9+R10+R11)</f>
        <v>5.5518181818181818</v>
      </c>
    </row>
    <row r="13" spans="1:19" x14ac:dyDescent="0.25">
      <c r="A13" s="1" t="s">
        <v>6</v>
      </c>
      <c r="B13" s="5">
        <f>(B12*8%)</f>
        <v>0.45120000000000005</v>
      </c>
      <c r="C13" s="5">
        <f>(C12*8%)</f>
        <v>0.4442666666666667</v>
      </c>
      <c r="D13" s="5">
        <f>(D12*8%)</f>
        <v>0.43931428571428571</v>
      </c>
      <c r="E13" s="5"/>
      <c r="F13" s="5"/>
      <c r="G13" s="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9" x14ac:dyDescent="0.25">
      <c r="A14" s="1" t="s">
        <v>7</v>
      </c>
      <c r="B14" s="21"/>
      <c r="E14" s="5">
        <f>E12*5%</f>
        <v>0.25600000000000001</v>
      </c>
      <c r="F14" s="5">
        <f>F12*5%</f>
        <v>0.27044444444444443</v>
      </c>
      <c r="G14" s="5">
        <f>G12*5%</f>
        <v>0.26900000000000002</v>
      </c>
      <c r="H14" s="5">
        <f>H12*5%</f>
        <v>0.28360000000000002</v>
      </c>
      <c r="I14" s="5">
        <f t="shared" ref="I14:Q14" si="0">I12*5%</f>
        <v>0.28253846153846157</v>
      </c>
      <c r="J14" s="5">
        <f t="shared" si="0"/>
        <v>0.28064285714285714</v>
      </c>
      <c r="K14" s="5">
        <f t="shared" si="0"/>
        <v>0.27900000000000003</v>
      </c>
      <c r="L14" s="5">
        <f t="shared" si="0"/>
        <v>0.27756250000000005</v>
      </c>
      <c r="M14" s="5">
        <f t="shared" si="0"/>
        <v>0.2762941176470588</v>
      </c>
      <c r="N14" s="5">
        <f t="shared" si="0"/>
        <v>0.27516666666666667</v>
      </c>
      <c r="O14" s="5">
        <f t="shared" si="0"/>
        <v>0.2741578947368421</v>
      </c>
      <c r="P14" s="5">
        <f t="shared" si="0"/>
        <v>0.27324999999999999</v>
      </c>
      <c r="Q14" s="5">
        <f t="shared" si="0"/>
        <v>0.27242857142857141</v>
      </c>
      <c r="R14" s="5">
        <f>R12*5%</f>
        <v>0.27759090909090911</v>
      </c>
    </row>
    <row r="15" spans="1:19" ht="15.75" x14ac:dyDescent="0.25">
      <c r="A15" s="3" t="s">
        <v>10</v>
      </c>
      <c r="B15" s="13">
        <f>(B12+B13)</f>
        <v>6.0912000000000006</v>
      </c>
      <c r="C15" s="13">
        <f>(C12+C13)</f>
        <v>5.9976000000000003</v>
      </c>
      <c r="D15" s="13">
        <f>(D12+D13)</f>
        <v>5.9307428571428566</v>
      </c>
      <c r="E15" s="13">
        <f>(E12+E14)</f>
        <v>5.3760000000000003</v>
      </c>
      <c r="F15" s="13">
        <f>(F12+F14)</f>
        <v>5.6793333333333331</v>
      </c>
      <c r="G15" s="13">
        <f>G12+G14</f>
        <v>5.649</v>
      </c>
      <c r="H15" s="13">
        <f>H12+H14</f>
        <v>5.9556000000000004</v>
      </c>
      <c r="I15" s="13">
        <f t="shared" ref="I15:L15" si="1">I12+I14</f>
        <v>5.9333076923076931</v>
      </c>
      <c r="J15" s="13">
        <f t="shared" si="1"/>
        <v>5.8934999999999995</v>
      </c>
      <c r="K15" s="13">
        <f t="shared" si="1"/>
        <v>5.859</v>
      </c>
      <c r="L15" s="13">
        <f t="shared" si="1"/>
        <v>5.8288125000000006</v>
      </c>
      <c r="M15" s="13">
        <f t="shared" ref="M15:Q15" si="2">M12+M14</f>
        <v>5.8021764705882344</v>
      </c>
      <c r="N15" s="13">
        <f t="shared" si="2"/>
        <v>5.7784999999999993</v>
      </c>
      <c r="O15" s="13">
        <f t="shared" si="2"/>
        <v>5.7573157894736839</v>
      </c>
      <c r="P15" s="13">
        <f t="shared" si="2"/>
        <v>5.7382499999999999</v>
      </c>
      <c r="Q15" s="13">
        <f t="shared" si="2"/>
        <v>5.7210000000000001</v>
      </c>
      <c r="R15" s="13">
        <f>R12+R14</f>
        <v>5.829409090909091</v>
      </c>
    </row>
    <row r="16" spans="1:19" x14ac:dyDescent="0.25">
      <c r="A16" s="1" t="s">
        <v>12</v>
      </c>
      <c r="B16" s="5">
        <f>B15*2.5%</f>
        <v>0.15228000000000003</v>
      </c>
      <c r="C16" s="5">
        <f t="shared" ref="C16:Q16" si="3">C15*2.5%</f>
        <v>0.14994000000000002</v>
      </c>
      <c r="D16" s="5">
        <f t="shared" si="3"/>
        <v>0.14826857142857142</v>
      </c>
      <c r="E16" s="5">
        <f t="shared" si="3"/>
        <v>0.13440000000000002</v>
      </c>
      <c r="F16" s="5">
        <f t="shared" si="3"/>
        <v>0.14198333333333332</v>
      </c>
      <c r="G16" s="5">
        <f t="shared" si="3"/>
        <v>0.14122500000000002</v>
      </c>
      <c r="H16" s="5">
        <f t="shared" si="3"/>
        <v>0.14889000000000002</v>
      </c>
      <c r="I16" s="5">
        <f t="shared" si="3"/>
        <v>0.14833269230769233</v>
      </c>
      <c r="J16" s="5">
        <f t="shared" si="3"/>
        <v>0.14733749999999998</v>
      </c>
      <c r="K16" s="5">
        <f>K15*3%</f>
        <v>0.17576999999999998</v>
      </c>
      <c r="L16" s="5">
        <f t="shared" si="3"/>
        <v>0.14572031250000003</v>
      </c>
      <c r="M16" s="5">
        <f t="shared" si="3"/>
        <v>0.14505441176470588</v>
      </c>
      <c r="N16" s="5">
        <f t="shared" si="3"/>
        <v>0.14446249999999999</v>
      </c>
      <c r="O16" s="5">
        <f t="shared" si="3"/>
        <v>0.14393289473684209</v>
      </c>
      <c r="P16" s="5">
        <f t="shared" si="3"/>
        <v>0.14345625000000001</v>
      </c>
      <c r="Q16" s="5">
        <f t="shared" si="3"/>
        <v>0.14302500000000001</v>
      </c>
      <c r="R16" s="5">
        <f>R15*2.5%</f>
        <v>0.14573522727272728</v>
      </c>
      <c r="S16" s="5"/>
    </row>
    <row r="17" spans="1:18" ht="15.75" x14ac:dyDescent="0.25">
      <c r="A17" s="3" t="s">
        <v>11</v>
      </c>
      <c r="B17" s="13">
        <f>(B15+B16)</f>
        <v>6.2434800000000008</v>
      </c>
      <c r="C17" s="13">
        <f t="shared" ref="C17:Q17" si="4">(C15+C16)</f>
        <v>6.1475400000000002</v>
      </c>
      <c r="D17" s="13">
        <f t="shared" si="4"/>
        <v>6.0790114285714285</v>
      </c>
      <c r="E17" s="13">
        <f t="shared" si="4"/>
        <v>5.5104000000000006</v>
      </c>
      <c r="F17" s="13">
        <f t="shared" si="4"/>
        <v>5.8213166666666663</v>
      </c>
      <c r="G17" s="13">
        <f>(G15+G16)</f>
        <v>5.7902250000000004</v>
      </c>
      <c r="H17" s="13">
        <f>(H15+H16)</f>
        <v>6.1044900000000002</v>
      </c>
      <c r="I17" s="13">
        <f t="shared" si="4"/>
        <v>6.081640384615385</v>
      </c>
      <c r="J17" s="13">
        <f t="shared" si="4"/>
        <v>6.0408374999999994</v>
      </c>
      <c r="K17" s="13">
        <f t="shared" si="4"/>
        <v>6.03477</v>
      </c>
      <c r="L17" s="13">
        <f t="shared" si="4"/>
        <v>5.9745328125000006</v>
      </c>
      <c r="M17" s="13">
        <f t="shared" si="4"/>
        <v>5.9472308823529403</v>
      </c>
      <c r="N17" s="13">
        <f t="shared" si="4"/>
        <v>5.9229624999999997</v>
      </c>
      <c r="O17" s="13">
        <f t="shared" si="4"/>
        <v>5.9012486842105263</v>
      </c>
      <c r="P17" s="13">
        <f>(P15+P16)</f>
        <v>5.8817062499999997</v>
      </c>
      <c r="Q17" s="13">
        <f t="shared" si="4"/>
        <v>5.8640249999999998</v>
      </c>
      <c r="R17" s="13">
        <f>(R15+R16)</f>
        <v>5.975144318181818</v>
      </c>
    </row>
    <row r="19" spans="1:18" ht="15.75" x14ac:dyDescent="0.25">
      <c r="A19" s="3"/>
      <c r="B19" s="13"/>
    </row>
    <row r="20" spans="1:18" ht="15.75" x14ac:dyDescent="0.25">
      <c r="A20" s="8" t="s">
        <v>14</v>
      </c>
      <c r="B20" s="22">
        <v>250</v>
      </c>
      <c r="C20" s="22">
        <v>275</v>
      </c>
      <c r="D20" s="22">
        <v>300</v>
      </c>
      <c r="E20" s="22">
        <v>340</v>
      </c>
      <c r="F20" s="22">
        <v>350</v>
      </c>
      <c r="G20" s="22">
        <v>375</v>
      </c>
      <c r="H20" s="22">
        <v>400</v>
      </c>
      <c r="I20" s="22">
        <v>430</v>
      </c>
      <c r="J20" s="22">
        <v>450</v>
      </c>
      <c r="K20" s="22">
        <v>475</v>
      </c>
      <c r="L20" s="22">
        <v>500</v>
      </c>
      <c r="M20" s="22">
        <v>525</v>
      </c>
      <c r="N20" s="22">
        <v>550</v>
      </c>
      <c r="O20" s="22">
        <v>575</v>
      </c>
      <c r="P20" s="22">
        <v>600</v>
      </c>
      <c r="Q20" s="22">
        <v>625</v>
      </c>
      <c r="R20" s="22">
        <v>650</v>
      </c>
    </row>
    <row r="21" spans="1:18" x14ac:dyDescent="0.25">
      <c r="A21" t="s">
        <v>1</v>
      </c>
      <c r="B21" s="1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x14ac:dyDescent="0.25">
      <c r="A22" t="s">
        <v>9</v>
      </c>
      <c r="B22" s="5">
        <f>(B21/60)*R1/B20</f>
        <v>0</v>
      </c>
      <c r="C22" s="5">
        <f>(C21/60)*R1/C20</f>
        <v>0</v>
      </c>
      <c r="D22" s="12">
        <f>(D21/60)*R1/D20</f>
        <v>0</v>
      </c>
      <c r="E22" s="5">
        <f>(E21/60)*R1/E20</f>
        <v>0</v>
      </c>
      <c r="F22" s="5">
        <f>(F21/60)*R1/F20</f>
        <v>0</v>
      </c>
      <c r="G22" s="5">
        <f>(G21/60)*R1/G20</f>
        <v>0</v>
      </c>
      <c r="H22" s="5">
        <f>(H21/60)*R1/H20</f>
        <v>0</v>
      </c>
      <c r="I22" s="5">
        <f>(I21/60)*R1/I20</f>
        <v>0</v>
      </c>
      <c r="J22" s="12">
        <f>(J21/60)*R1/J20</f>
        <v>0</v>
      </c>
      <c r="K22" s="5">
        <f>(K21/60)*R1/K20</f>
        <v>0</v>
      </c>
      <c r="L22" s="5">
        <f>(L21/60)*R1/L20</f>
        <v>0</v>
      </c>
      <c r="M22" s="5">
        <f>(M21/60)*R1/M20</f>
        <v>0</v>
      </c>
      <c r="N22" s="5">
        <f>(N21/60)*R1/N20</f>
        <v>0</v>
      </c>
      <c r="O22" s="5">
        <f>(O21/60)*R1/O20</f>
        <v>0</v>
      </c>
      <c r="P22" s="5">
        <f>(P21/60)*R1/P20</f>
        <v>0</v>
      </c>
      <c r="Q22" s="5">
        <f>(Q21/60)*R1/Q20</f>
        <v>0</v>
      </c>
      <c r="R22" s="5">
        <f>(R21/60)*R1/R20</f>
        <v>0</v>
      </c>
    </row>
    <row r="23" spans="1:18" x14ac:dyDescent="0.25">
      <c r="A23" t="s">
        <v>16</v>
      </c>
      <c r="B23" s="5">
        <f>Q1/B20</f>
        <v>0</v>
      </c>
      <c r="C23" s="5">
        <f>Q1/C20</f>
        <v>0</v>
      </c>
      <c r="D23" s="12">
        <f>Q1/D20</f>
        <v>0</v>
      </c>
      <c r="E23" s="5">
        <f>Q1/E20</f>
        <v>0</v>
      </c>
      <c r="F23" s="12">
        <f>Q1/F20</f>
        <v>0</v>
      </c>
      <c r="G23" s="5">
        <f>Q1/G20</f>
        <v>0</v>
      </c>
      <c r="H23" s="5">
        <f>Q1/H20</f>
        <v>0</v>
      </c>
      <c r="I23" s="5">
        <f>Q1/I20</f>
        <v>0</v>
      </c>
      <c r="J23" s="5">
        <f>Q1/J20</f>
        <v>0</v>
      </c>
      <c r="K23" s="5">
        <f>Q1/K20</f>
        <v>0</v>
      </c>
      <c r="L23" s="5">
        <f>Q1/L20</f>
        <v>0</v>
      </c>
      <c r="M23" s="12">
        <f>Q1/M20</f>
        <v>0</v>
      </c>
      <c r="N23" s="5">
        <f>Q1/N20</f>
        <v>0</v>
      </c>
      <c r="O23" s="5">
        <f>Q1/O20</f>
        <v>0</v>
      </c>
      <c r="P23" s="5">
        <f>Q1/P20</f>
        <v>0</v>
      </c>
      <c r="Q23" s="5">
        <f>Q1/Q20</f>
        <v>0</v>
      </c>
      <c r="R23" s="5">
        <f>Q1/R20</f>
        <v>0</v>
      </c>
    </row>
    <row r="24" spans="1:18" x14ac:dyDescent="0.25">
      <c r="A24" t="s">
        <v>15</v>
      </c>
      <c r="B24" s="5">
        <f>P1/B20</f>
        <v>0</v>
      </c>
      <c r="C24" s="5">
        <f>P1/C20</f>
        <v>0</v>
      </c>
      <c r="D24" s="12">
        <f>P1/D20</f>
        <v>0</v>
      </c>
      <c r="E24" s="5">
        <f>P1/E20</f>
        <v>0</v>
      </c>
      <c r="F24" s="5">
        <f>P1/F20</f>
        <v>0</v>
      </c>
      <c r="G24" s="5">
        <f>P1/G20</f>
        <v>0</v>
      </c>
      <c r="H24" s="5">
        <f>P1/H20</f>
        <v>0</v>
      </c>
      <c r="I24" s="12">
        <f>P1/I20</f>
        <v>0</v>
      </c>
      <c r="J24" s="5">
        <f>P1/J20</f>
        <v>0</v>
      </c>
      <c r="K24" s="5">
        <f>P1/K20</f>
        <v>0</v>
      </c>
      <c r="L24" s="5">
        <f>P1/L20</f>
        <v>0</v>
      </c>
      <c r="M24" s="5">
        <f>P1/M20</f>
        <v>0</v>
      </c>
      <c r="N24" s="5">
        <f>P1/N20</f>
        <v>0</v>
      </c>
      <c r="O24" s="5">
        <f>P1/O20</f>
        <v>0</v>
      </c>
      <c r="P24" s="5">
        <f>P1/P20</f>
        <v>0</v>
      </c>
      <c r="Q24" s="5">
        <f>P1/Q20</f>
        <v>0</v>
      </c>
      <c r="R24" s="5">
        <f>P1/R20</f>
        <v>0</v>
      </c>
    </row>
    <row r="25" spans="1:18" x14ac:dyDescent="0.25">
      <c r="A25" t="s">
        <v>2</v>
      </c>
      <c r="B25" s="5">
        <f>O1*3/B20</f>
        <v>0.312</v>
      </c>
      <c r="C25" s="5">
        <f>O1*3/C20</f>
        <v>0.28363636363636363</v>
      </c>
      <c r="D25" s="5">
        <f>O1*3/D20</f>
        <v>0.26</v>
      </c>
      <c r="E25" s="5">
        <f>O1*4/E20</f>
        <v>0.30588235294117649</v>
      </c>
      <c r="F25" s="12">
        <f>O1*4/F20</f>
        <v>0.29714285714285715</v>
      </c>
      <c r="G25" s="5">
        <f>O1*4/G20</f>
        <v>0.27733333333333332</v>
      </c>
      <c r="H25" s="5">
        <f>O1*4/H20</f>
        <v>0.26</v>
      </c>
      <c r="I25" s="5"/>
      <c r="J25" s="5"/>
      <c r="K25" s="5">
        <f>O1*5/K20</f>
        <v>0.27368421052631581</v>
      </c>
      <c r="L25" s="5"/>
      <c r="M25" s="5">
        <f>O1*5/M20</f>
        <v>0.24761904761904763</v>
      </c>
      <c r="N25" s="5">
        <f>O1*6/N20</f>
        <v>0.28363636363636363</v>
      </c>
      <c r="O25" s="5">
        <f>O1*6/O20</f>
        <v>0.27130434782608698</v>
      </c>
      <c r="P25" s="5">
        <f>O1*6/P20</f>
        <v>0.26</v>
      </c>
      <c r="Q25" s="5">
        <f>O1*6/Q20</f>
        <v>0.24959999999999999</v>
      </c>
      <c r="R25" s="5">
        <f>O1*7/R20</f>
        <v>0.28000000000000003</v>
      </c>
    </row>
    <row r="26" spans="1:18" x14ac:dyDescent="0.25">
      <c r="A26" s="1" t="s">
        <v>3</v>
      </c>
      <c r="B26" s="21"/>
      <c r="C26" s="12"/>
      <c r="D26" s="12"/>
      <c r="E26" s="12"/>
      <c r="F26" s="12"/>
      <c r="G26" s="12"/>
      <c r="H26" s="12"/>
      <c r="I26" s="12">
        <f>M3/I20</f>
        <v>0.39534883720930231</v>
      </c>
      <c r="J26" s="12">
        <f>N1/J20</f>
        <v>0.46666666666666667</v>
      </c>
      <c r="K26" s="12"/>
      <c r="L26" s="12">
        <f>N1/L20</f>
        <v>0.42</v>
      </c>
      <c r="M26" s="12"/>
      <c r="N26" s="12"/>
      <c r="O26" s="12"/>
      <c r="P26" s="12"/>
      <c r="Q26" s="12"/>
      <c r="R26" s="12"/>
    </row>
    <row r="27" spans="1:18" x14ac:dyDescent="0.25">
      <c r="A27" s="1" t="s">
        <v>4</v>
      </c>
      <c r="B27" s="5">
        <f>M1/B20</f>
        <v>0</v>
      </c>
      <c r="C27" s="5">
        <f>M1/C20</f>
        <v>0</v>
      </c>
      <c r="D27" s="5">
        <f>M1/D20</f>
        <v>0</v>
      </c>
      <c r="E27" s="5">
        <f>M1/E20</f>
        <v>0</v>
      </c>
      <c r="F27" s="12">
        <f>M1*2/F20</f>
        <v>0</v>
      </c>
      <c r="G27" s="5">
        <f>M1*2/G20</f>
        <v>0</v>
      </c>
      <c r="H27" s="5">
        <f>M1*2/H20</f>
        <v>0</v>
      </c>
      <c r="I27" s="5">
        <f>M1*2/I20</f>
        <v>0</v>
      </c>
      <c r="J27" s="5">
        <f>M1*2/J20</f>
        <v>0</v>
      </c>
      <c r="K27" s="5">
        <f>M1*2/K20</f>
        <v>0</v>
      </c>
      <c r="L27" s="5">
        <f>M1*2/L20</f>
        <v>0</v>
      </c>
      <c r="M27" s="5">
        <f>M1*2/M20</f>
        <v>0</v>
      </c>
      <c r="N27" s="5">
        <f>M1*2/N20</f>
        <v>0</v>
      </c>
      <c r="O27" s="5">
        <f>M1*2/O20</f>
        <v>0</v>
      </c>
      <c r="P27" s="5">
        <f>M1*2/P20</f>
        <v>0</v>
      </c>
      <c r="Q27" s="5">
        <f>M1*2/Q20</f>
        <v>0</v>
      </c>
      <c r="R27" s="5">
        <f>M1*3/R20</f>
        <v>0</v>
      </c>
    </row>
    <row r="28" spans="1:18" x14ac:dyDescent="0.25">
      <c r="A28" s="1" t="s">
        <v>5</v>
      </c>
      <c r="B28" s="12">
        <f>L1/B20</f>
        <v>6.8000000000000005E-2</v>
      </c>
      <c r="C28" s="5">
        <f>L1/C20</f>
        <v>6.1818181818181821E-2</v>
      </c>
      <c r="D28" s="5">
        <f>L1/D20</f>
        <v>5.6666666666666664E-2</v>
      </c>
      <c r="E28" s="5">
        <f>L1*2/E20</f>
        <v>0.1</v>
      </c>
      <c r="F28" s="5">
        <f>L1*2/F20</f>
        <v>9.7142857142857142E-2</v>
      </c>
      <c r="G28" s="5">
        <f>L1*2/G20</f>
        <v>9.0666666666666673E-2</v>
      </c>
      <c r="H28" s="12">
        <f>L1*2/H20</f>
        <v>8.5000000000000006E-2</v>
      </c>
      <c r="I28" s="5">
        <f>L1/I20</f>
        <v>3.9534883720930232E-2</v>
      </c>
      <c r="J28" s="5">
        <f>L1/J20</f>
        <v>3.7777777777777778E-2</v>
      </c>
      <c r="K28" s="5">
        <f>L1*2/K20</f>
        <v>7.1578947368421048E-2</v>
      </c>
      <c r="L28" s="12">
        <f>L1/L20</f>
        <v>3.4000000000000002E-2</v>
      </c>
      <c r="M28" s="5">
        <f>L1*2/M20</f>
        <v>6.4761904761904757E-2</v>
      </c>
      <c r="N28" s="5">
        <f>L1*2/N20</f>
        <v>6.1818181818181821E-2</v>
      </c>
      <c r="O28" s="5">
        <f>L1*2/O20</f>
        <v>5.9130434782608696E-2</v>
      </c>
      <c r="P28" s="5">
        <f>L1*2/P20</f>
        <v>5.6666666666666664E-2</v>
      </c>
      <c r="Q28" s="5">
        <f>L1*2/Q20</f>
        <v>5.4399999999999997E-2</v>
      </c>
      <c r="R28" s="5">
        <f>L1*2/R20</f>
        <v>5.2307692307692305E-2</v>
      </c>
    </row>
    <row r="29" spans="1:18" x14ac:dyDescent="0.25">
      <c r="A29" s="2" t="s">
        <v>8</v>
      </c>
      <c r="B29" s="5">
        <f>B1+B22+B23+B24+B25+B26+B27+B28</f>
        <v>5.5</v>
      </c>
      <c r="C29" s="5">
        <f>B1+C22+C23+C24+C25+C26+C27+C28</f>
        <v>5.4654545454545449</v>
      </c>
      <c r="D29" s="5">
        <f>B1+D22+D23+D24+D25+D26+D27+D28</f>
        <v>5.4366666666666665</v>
      </c>
      <c r="E29" s="5">
        <f>B1+E22+E23+E24+E25+E26+E27+E28</f>
        <v>5.525882352941176</v>
      </c>
      <c r="F29" s="5">
        <f>B1+F22+F23+F24+F25+F26+F27+F28</f>
        <v>5.5142857142857142</v>
      </c>
      <c r="G29" s="5">
        <f>B1+G22+G23+G24+G25+G26+G27+G28</f>
        <v>5.4879999999999995</v>
      </c>
      <c r="H29" s="5">
        <f>B1+H22+H23+H24+H25+H26+H27+H28</f>
        <v>5.4649999999999999</v>
      </c>
      <c r="I29" s="5">
        <f>B1+I22+I23+I24+I25+I26+I27+I28</f>
        <v>5.5548837209302322</v>
      </c>
      <c r="J29" s="5">
        <f>B1+J22+J23+J24+J25+J26+J27+J28</f>
        <v>5.6244444444444444</v>
      </c>
      <c r="K29" s="5">
        <f>B1+K22+K23+K24+K25+K26+K27+K28</f>
        <v>5.4652631578947366</v>
      </c>
      <c r="L29" s="5">
        <f>B1+L22+L23+L24+L25+L26+L27+L28</f>
        <v>5.5739999999999998</v>
      </c>
      <c r="M29" s="5">
        <f>B1+M22+M23+M24+M25+M26+M27+M28</f>
        <v>5.4323809523809521</v>
      </c>
      <c r="N29" s="5">
        <f>B1+N22+N23+N24+N25+N26+N27+N28</f>
        <v>5.4654545454545449</v>
      </c>
      <c r="O29" s="5">
        <f>B1+O22+O23+O24+O25+O26+O27+O28</f>
        <v>5.4504347826086956</v>
      </c>
      <c r="P29" s="5">
        <f>B1+P22+P23+P24+P25+P26+P27+P28</f>
        <v>5.4366666666666665</v>
      </c>
      <c r="Q29" s="5">
        <f>B1+Q22+Q23+Q24+Q25+Q26+Q27+Q28</f>
        <v>5.4240000000000004</v>
      </c>
      <c r="R29" s="5">
        <f>B1+R22+R23+R24+R25+R26+R27+R28</f>
        <v>5.4523076923076923</v>
      </c>
    </row>
    <row r="30" spans="1:18" x14ac:dyDescent="0.25">
      <c r="A30" s="1" t="s">
        <v>6</v>
      </c>
      <c r="B30" s="5"/>
      <c r="C30" s="5"/>
      <c r="D30" s="5"/>
      <c r="E30" s="5"/>
      <c r="F30" s="5"/>
      <c r="G30" s="5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x14ac:dyDescent="0.25">
      <c r="A31" s="1" t="s">
        <v>7</v>
      </c>
      <c r="B31" s="5">
        <f>B29*5%</f>
        <v>0.27500000000000002</v>
      </c>
      <c r="C31" s="5">
        <f>C29*5%</f>
        <v>0.27327272727272728</v>
      </c>
      <c r="D31" s="12">
        <f>D29*5%</f>
        <v>0.27183333333333332</v>
      </c>
      <c r="E31" s="5">
        <f>E29*5%</f>
        <v>0.2762941176470588</v>
      </c>
      <c r="F31" s="12">
        <f>F29*5%</f>
        <v>0.27571428571428575</v>
      </c>
      <c r="G31" s="5">
        <f t="shared" ref="G31:R31" si="5">G29*5%</f>
        <v>0.27439999999999998</v>
      </c>
      <c r="H31" s="5">
        <f t="shared" si="5"/>
        <v>0.27324999999999999</v>
      </c>
      <c r="I31" s="5">
        <f>I29*5%</f>
        <v>0.27774418604651163</v>
      </c>
      <c r="J31" s="5">
        <f>J29*5%</f>
        <v>0.28122222222222221</v>
      </c>
      <c r="K31" s="5">
        <f t="shared" si="5"/>
        <v>0.27326315789473682</v>
      </c>
      <c r="L31" s="5">
        <f t="shared" si="5"/>
        <v>0.2787</v>
      </c>
      <c r="M31" s="5">
        <f t="shared" si="5"/>
        <v>0.27161904761904759</v>
      </c>
      <c r="N31" s="5">
        <f t="shared" si="5"/>
        <v>0.27327272727272728</v>
      </c>
      <c r="O31" s="5">
        <f t="shared" si="5"/>
        <v>0.27252173913043481</v>
      </c>
      <c r="P31" s="5">
        <f t="shared" si="5"/>
        <v>0.27183333333333332</v>
      </c>
      <c r="Q31" s="12">
        <f t="shared" si="5"/>
        <v>0.27120000000000005</v>
      </c>
      <c r="R31" s="5">
        <f t="shared" si="5"/>
        <v>0.27261538461538465</v>
      </c>
    </row>
    <row r="32" spans="1:18" ht="15.75" x14ac:dyDescent="0.25">
      <c r="A32" s="3" t="s">
        <v>10</v>
      </c>
      <c r="B32" s="13">
        <f>SUM(B29:B31)</f>
        <v>5.7750000000000004</v>
      </c>
      <c r="C32" s="13">
        <f>SUM(C29:C31)</f>
        <v>5.7387272727272718</v>
      </c>
      <c r="D32" s="13">
        <f>SUM(D29:D31)</f>
        <v>5.7084999999999999</v>
      </c>
      <c r="E32" s="13">
        <f>SUM(E29:E31)</f>
        <v>5.8021764705882344</v>
      </c>
      <c r="F32" s="13">
        <f>SUM(F29:F31)</f>
        <v>5.79</v>
      </c>
      <c r="G32" s="13">
        <f t="shared" ref="G32:R32" si="6">SUM(G29:G31)</f>
        <v>5.7623999999999995</v>
      </c>
      <c r="H32" s="13">
        <f t="shared" si="6"/>
        <v>5.7382499999999999</v>
      </c>
      <c r="I32" s="13">
        <f>SUM(I29:I31)</f>
        <v>5.8326279069767439</v>
      </c>
      <c r="J32" s="13">
        <f>SUM(J29:J31)</f>
        <v>5.9056666666666668</v>
      </c>
      <c r="K32" s="13">
        <f t="shared" si="6"/>
        <v>5.738526315789473</v>
      </c>
      <c r="L32" s="13">
        <f t="shared" si="6"/>
        <v>5.8526999999999996</v>
      </c>
      <c r="M32" s="13">
        <f t="shared" si="6"/>
        <v>5.7039999999999997</v>
      </c>
      <c r="N32" s="13">
        <f t="shared" si="6"/>
        <v>5.7387272727272718</v>
      </c>
      <c r="O32" s="13">
        <f t="shared" si="6"/>
        <v>5.7229565217391301</v>
      </c>
      <c r="P32" s="13">
        <f t="shared" si="6"/>
        <v>5.7084999999999999</v>
      </c>
      <c r="Q32" s="13">
        <f t="shared" si="6"/>
        <v>5.6952000000000007</v>
      </c>
      <c r="R32" s="13">
        <f t="shared" si="6"/>
        <v>5.7249230769230772</v>
      </c>
    </row>
    <row r="33" spans="1:19" x14ac:dyDescent="0.25">
      <c r="A33" s="1" t="s">
        <v>12</v>
      </c>
      <c r="B33" s="5">
        <f t="shared" ref="B33:R33" si="7">B32*2.5%</f>
        <v>0.144375</v>
      </c>
      <c r="C33" s="5">
        <f t="shared" si="7"/>
        <v>0.1434681818181818</v>
      </c>
      <c r="D33" s="5">
        <f t="shared" si="7"/>
        <v>0.14271249999999999</v>
      </c>
      <c r="E33" s="5">
        <f t="shared" si="7"/>
        <v>0.14505441176470588</v>
      </c>
      <c r="F33" s="5">
        <f t="shared" si="7"/>
        <v>0.14475000000000002</v>
      </c>
      <c r="G33" s="5">
        <f t="shared" si="7"/>
        <v>0.14405999999999999</v>
      </c>
      <c r="H33" s="5">
        <f t="shared" si="7"/>
        <v>0.14345625000000001</v>
      </c>
      <c r="I33" s="5">
        <f t="shared" si="7"/>
        <v>0.1458156976744186</v>
      </c>
      <c r="J33" s="5">
        <f t="shared" si="7"/>
        <v>0.14764166666666667</v>
      </c>
      <c r="K33" s="5">
        <f t="shared" si="7"/>
        <v>0.14346315789473682</v>
      </c>
      <c r="L33" s="5">
        <f>L32*3%</f>
        <v>0.17558099999999999</v>
      </c>
      <c r="M33" s="5">
        <f t="shared" si="7"/>
        <v>0.1426</v>
      </c>
      <c r="N33" s="5">
        <f t="shared" si="7"/>
        <v>0.1434681818181818</v>
      </c>
      <c r="O33" s="5">
        <f t="shared" si="7"/>
        <v>0.14307391304347825</v>
      </c>
      <c r="P33" s="5">
        <f t="shared" si="7"/>
        <v>0.14271249999999999</v>
      </c>
      <c r="Q33" s="5">
        <f t="shared" si="7"/>
        <v>0.14238000000000003</v>
      </c>
      <c r="R33" s="5">
        <f t="shared" si="7"/>
        <v>0.14312307692307694</v>
      </c>
    </row>
    <row r="34" spans="1:19" ht="15.75" x14ac:dyDescent="0.25">
      <c r="A34" s="3" t="s">
        <v>11</v>
      </c>
      <c r="B34" s="13">
        <f>SUM(B32:B33)</f>
        <v>5.9193750000000005</v>
      </c>
      <c r="C34" s="13">
        <f>SUM(C32:C33)</f>
        <v>5.882195454545454</v>
      </c>
      <c r="D34" s="13">
        <f>SUM(D32:D33)</f>
        <v>5.8512124999999999</v>
      </c>
      <c r="E34" s="13">
        <f>SUM(E32:E33)</f>
        <v>5.9472308823529403</v>
      </c>
      <c r="F34" s="13">
        <f>SUM(F32:F33)</f>
        <v>5.9347500000000002</v>
      </c>
      <c r="G34" s="13">
        <f t="shared" ref="G34:R34" si="8">SUM(G32:G33)</f>
        <v>5.9064599999999992</v>
      </c>
      <c r="H34" s="13">
        <f t="shared" si="8"/>
        <v>5.8817062499999997</v>
      </c>
      <c r="I34" s="13">
        <f>SUM(I32:I33)</f>
        <v>5.9784436046511624</v>
      </c>
      <c r="J34" s="13">
        <f>SUM(J32:J33)</f>
        <v>6.0533083333333337</v>
      </c>
      <c r="K34" s="13">
        <f t="shared" si="8"/>
        <v>5.88198947368421</v>
      </c>
      <c r="L34" s="13">
        <f t="shared" si="8"/>
        <v>6.0282809999999998</v>
      </c>
      <c r="M34" s="13">
        <f t="shared" si="8"/>
        <v>5.8465999999999996</v>
      </c>
      <c r="N34" s="13">
        <f t="shared" si="8"/>
        <v>5.882195454545454</v>
      </c>
      <c r="O34" s="13">
        <f t="shared" si="8"/>
        <v>5.8660304347826084</v>
      </c>
      <c r="P34" s="13">
        <f t="shared" si="8"/>
        <v>5.8512124999999999</v>
      </c>
      <c r="Q34" s="13">
        <f t="shared" si="8"/>
        <v>5.8375800000000009</v>
      </c>
      <c r="R34" s="13">
        <f t="shared" si="8"/>
        <v>5.8680461538461541</v>
      </c>
    </row>
    <row r="35" spans="1:19" ht="18.75" x14ac:dyDescent="0.3">
      <c r="A35" s="4" t="s">
        <v>0</v>
      </c>
      <c r="B35" s="11">
        <f>B1</f>
        <v>5.12</v>
      </c>
      <c r="C35">
        <f>C1</f>
        <v>0</v>
      </c>
      <c r="L35">
        <f>L1</f>
        <v>17</v>
      </c>
      <c r="N35">
        <f>N1</f>
        <v>210</v>
      </c>
      <c r="O35">
        <f>O1</f>
        <v>26</v>
      </c>
      <c r="R35">
        <f>R1</f>
        <v>239</v>
      </c>
    </row>
    <row r="36" spans="1:19" ht="15.75" x14ac:dyDescent="0.25">
      <c r="A36" s="3"/>
      <c r="B36" s="13"/>
    </row>
    <row r="37" spans="1:19" ht="15.75" x14ac:dyDescent="0.25">
      <c r="A37" s="8" t="s">
        <v>14</v>
      </c>
      <c r="B37" s="22">
        <v>675</v>
      </c>
      <c r="C37" s="22">
        <v>700</v>
      </c>
      <c r="D37" s="22">
        <v>725</v>
      </c>
      <c r="E37" s="22">
        <v>750</v>
      </c>
      <c r="F37" s="22">
        <v>775</v>
      </c>
      <c r="G37" s="22">
        <v>800</v>
      </c>
      <c r="H37" s="22">
        <v>850</v>
      </c>
      <c r="I37" s="22">
        <v>900</v>
      </c>
      <c r="J37" s="22">
        <v>950</v>
      </c>
      <c r="K37" s="22">
        <v>1000</v>
      </c>
      <c r="L37" s="22">
        <v>1050</v>
      </c>
      <c r="M37" s="22">
        <v>1100</v>
      </c>
      <c r="N37" s="22">
        <v>1150</v>
      </c>
      <c r="O37" s="22">
        <v>1200</v>
      </c>
      <c r="P37" s="22">
        <v>1250</v>
      </c>
      <c r="Q37" s="22">
        <v>1300</v>
      </c>
      <c r="R37" s="22">
        <v>1350</v>
      </c>
    </row>
    <row r="38" spans="1:19" x14ac:dyDescent="0.25">
      <c r="A38" t="s">
        <v>1</v>
      </c>
      <c r="B38" s="1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9" x14ac:dyDescent="0.25">
      <c r="A39" t="s">
        <v>9</v>
      </c>
      <c r="B39" s="5">
        <f>(B38/60)*R1/B37</f>
        <v>0</v>
      </c>
      <c r="C39" s="5">
        <f>(C38/60)*R1/C37</f>
        <v>0</v>
      </c>
      <c r="D39" s="12">
        <f>(D38/60)*R1/D37</f>
        <v>0</v>
      </c>
      <c r="E39" s="5">
        <f>(E38/60)*R1/E37</f>
        <v>0</v>
      </c>
      <c r="F39" s="5">
        <f>(F38/60)*R1/F37</f>
        <v>0</v>
      </c>
      <c r="G39" s="5">
        <f>(G38/60)*R1/G37</f>
        <v>0</v>
      </c>
      <c r="H39" s="5">
        <f>(H38/60)*R1/H37</f>
        <v>0</v>
      </c>
      <c r="I39" s="5">
        <f>(I38/60)*R1/I37</f>
        <v>0</v>
      </c>
      <c r="J39" s="12">
        <f>(J38/60)*R1/J37</f>
        <v>0</v>
      </c>
      <c r="K39" s="5">
        <f>(K38/60)*R1/K37</f>
        <v>0</v>
      </c>
      <c r="L39" s="5">
        <f>(L38/60)*R1/L37</f>
        <v>0</v>
      </c>
      <c r="M39" s="5">
        <f>(M38/60)*R1/M37</f>
        <v>0</v>
      </c>
      <c r="N39" s="5">
        <f>(N38/60)*R1/N37</f>
        <v>0</v>
      </c>
      <c r="O39" s="5">
        <f>(O38/60)*R1/O37</f>
        <v>0</v>
      </c>
      <c r="P39" s="5">
        <f>(P38/60)*R1/P37</f>
        <v>0</v>
      </c>
      <c r="Q39" s="5">
        <f>(Q38/60)*R1/Q37</f>
        <v>0</v>
      </c>
      <c r="R39" s="5">
        <f>(R38/60)*R1/R37</f>
        <v>0</v>
      </c>
    </row>
    <row r="40" spans="1:19" x14ac:dyDescent="0.25">
      <c r="A40" t="s">
        <v>16</v>
      </c>
      <c r="B40" s="5">
        <f>Q1/B37</f>
        <v>0</v>
      </c>
      <c r="C40" s="5">
        <f>Q1/C37</f>
        <v>0</v>
      </c>
      <c r="D40" s="5">
        <f>Q1/D37</f>
        <v>0</v>
      </c>
      <c r="E40" s="5">
        <f>Q1/E37</f>
        <v>0</v>
      </c>
      <c r="F40" s="12">
        <f>Q1/F37</f>
        <v>0</v>
      </c>
      <c r="G40" s="5">
        <f>Q1/G37</f>
        <v>0</v>
      </c>
      <c r="H40" s="5">
        <f>Q1/H37</f>
        <v>0</v>
      </c>
      <c r="I40" s="5">
        <f>Q1/I37</f>
        <v>0</v>
      </c>
      <c r="J40" s="5">
        <f>Q1/J37</f>
        <v>0</v>
      </c>
      <c r="K40" s="5">
        <f>Q1/K37</f>
        <v>0</v>
      </c>
      <c r="L40" s="5">
        <f>Q1/L37</f>
        <v>0</v>
      </c>
      <c r="M40" s="12">
        <f>Q1/M37</f>
        <v>0</v>
      </c>
      <c r="N40" s="5">
        <f>Q1/N37</f>
        <v>0</v>
      </c>
      <c r="O40" s="5">
        <f>Q1/O37</f>
        <v>0</v>
      </c>
      <c r="P40" s="5">
        <f>Q1/P37</f>
        <v>0</v>
      </c>
      <c r="Q40" s="5">
        <f>Q1/Q37</f>
        <v>0</v>
      </c>
      <c r="R40" s="5">
        <f>Q1/R37</f>
        <v>0</v>
      </c>
    </row>
    <row r="41" spans="1:19" x14ac:dyDescent="0.25">
      <c r="A41" t="s">
        <v>15</v>
      </c>
      <c r="B41" s="5">
        <f>P1/B37</f>
        <v>0</v>
      </c>
      <c r="C41" s="5">
        <f>P1/C37</f>
        <v>0</v>
      </c>
      <c r="D41" s="12">
        <f>P1/D37</f>
        <v>0</v>
      </c>
      <c r="E41" s="5">
        <f>P1/E37</f>
        <v>0</v>
      </c>
      <c r="F41" s="5">
        <f>P1/F37</f>
        <v>0</v>
      </c>
      <c r="G41" s="5">
        <f>P1/G37</f>
        <v>0</v>
      </c>
      <c r="H41" s="5">
        <f>P1/H37</f>
        <v>0</v>
      </c>
      <c r="I41" s="12">
        <f>P1/I37</f>
        <v>0</v>
      </c>
      <c r="J41" s="5">
        <f>P1/J37</f>
        <v>0</v>
      </c>
      <c r="K41" s="12">
        <f>P1/K37</f>
        <v>0</v>
      </c>
      <c r="L41" s="5">
        <f>P1/L37</f>
        <v>0</v>
      </c>
      <c r="M41" s="5">
        <f>P17/M37</f>
        <v>5.3470056818181819E-3</v>
      </c>
      <c r="N41" s="5">
        <f>P1/N37</f>
        <v>0</v>
      </c>
      <c r="O41" s="5">
        <f>P1/O37</f>
        <v>0</v>
      </c>
      <c r="P41" s="5">
        <f>P1/P37</f>
        <v>0</v>
      </c>
      <c r="Q41" s="5">
        <f>P1/Q37</f>
        <v>0</v>
      </c>
      <c r="R41" s="5">
        <f>P1/R37</f>
        <v>0</v>
      </c>
    </row>
    <row r="42" spans="1:19" x14ac:dyDescent="0.25">
      <c r="A42" t="s">
        <v>2</v>
      </c>
      <c r="B42" s="12"/>
      <c r="C42" s="12"/>
      <c r="D42" s="5">
        <f>O1*8/D37</f>
        <v>0.28689655172413792</v>
      </c>
      <c r="E42" s="5">
        <f>O1*8/E37</f>
        <v>0.27733333333333332</v>
      </c>
      <c r="F42" s="5">
        <f>O1*8/F37</f>
        <v>0.26838709677419353</v>
      </c>
      <c r="G42" s="12"/>
      <c r="H42" s="5">
        <f>O1*9/H37</f>
        <v>0.2752941176470588</v>
      </c>
      <c r="I42" s="5">
        <f>O1*9/I37</f>
        <v>0.26</v>
      </c>
      <c r="J42" s="5">
        <f>O1*10/J37</f>
        <v>0.27368421052631581</v>
      </c>
      <c r="K42" s="12"/>
      <c r="L42" s="5">
        <f>O1*11/L37</f>
        <v>0.27238095238095239</v>
      </c>
      <c r="M42" s="5">
        <f>O1*11/M37</f>
        <v>0.26</v>
      </c>
      <c r="N42" s="5">
        <f>O1*12/N37</f>
        <v>0.27130434782608698</v>
      </c>
      <c r="O42" s="5">
        <f>O1*12/O37</f>
        <v>0.26</v>
      </c>
      <c r="P42" s="5">
        <f>O1*13/P37</f>
        <v>0.27039999999999997</v>
      </c>
      <c r="Q42" s="5">
        <f>O1*13/Q37</f>
        <v>0.26</v>
      </c>
      <c r="R42" s="5">
        <f>O1*14/R37</f>
        <v>0.26962962962962961</v>
      </c>
    </row>
    <row r="43" spans="1:19" x14ac:dyDescent="0.25">
      <c r="A43" s="1" t="s">
        <v>3</v>
      </c>
      <c r="B43" s="21">
        <f>N35/B37</f>
        <v>0.31111111111111112</v>
      </c>
      <c r="C43" s="12">
        <f>N35/C37</f>
        <v>0.3</v>
      </c>
      <c r="D43" s="12"/>
      <c r="E43" s="12"/>
      <c r="F43" s="12"/>
      <c r="G43" s="12">
        <f>N35/G37</f>
        <v>0.26250000000000001</v>
      </c>
      <c r="H43" s="12"/>
      <c r="I43" s="12"/>
      <c r="J43" s="12"/>
      <c r="K43" s="12">
        <f>N35/K37</f>
        <v>0.21</v>
      </c>
      <c r="L43" s="12"/>
      <c r="M43" s="12"/>
      <c r="N43" s="12"/>
      <c r="O43" s="12"/>
      <c r="P43" s="12"/>
      <c r="Q43" s="12"/>
      <c r="R43" s="12"/>
    </row>
    <row r="44" spans="1:19" x14ac:dyDescent="0.25">
      <c r="A44" s="1" t="s">
        <v>4</v>
      </c>
      <c r="B44" s="5">
        <f>M1/B37</f>
        <v>0</v>
      </c>
      <c r="C44" s="5">
        <f>M1/C37</f>
        <v>0</v>
      </c>
      <c r="D44" s="5">
        <f>M1/D37</f>
        <v>0</v>
      </c>
      <c r="E44" s="5">
        <f>M1/E37</f>
        <v>0</v>
      </c>
      <c r="F44" s="12">
        <f>M1*2/F37</f>
        <v>0</v>
      </c>
      <c r="G44" s="5">
        <f>M1*2/G37</f>
        <v>0</v>
      </c>
      <c r="H44" s="5">
        <f>M1*2/H37</f>
        <v>0</v>
      </c>
      <c r="I44" s="5">
        <f>M1*2/I37</f>
        <v>0</v>
      </c>
      <c r="J44" s="5">
        <f>M1*2/J37</f>
        <v>0</v>
      </c>
      <c r="K44" s="5">
        <f>M1*2/K37</f>
        <v>0</v>
      </c>
      <c r="L44" s="5">
        <f>M1*2/L37</f>
        <v>0</v>
      </c>
      <c r="M44" s="5">
        <f>M1*2/M37</f>
        <v>0</v>
      </c>
      <c r="N44" s="5">
        <f>M1*2/N37</f>
        <v>0</v>
      </c>
      <c r="O44" s="5">
        <f>M1*2/O37</f>
        <v>0</v>
      </c>
      <c r="P44" s="5">
        <f>M1*2/P37</f>
        <v>0</v>
      </c>
      <c r="Q44" s="5">
        <f>M1*2/Q37</f>
        <v>0</v>
      </c>
      <c r="R44" s="5">
        <f>M1*3/R37</f>
        <v>0</v>
      </c>
    </row>
    <row r="45" spans="1:19" x14ac:dyDescent="0.25">
      <c r="A45" s="1" t="s">
        <v>5</v>
      </c>
      <c r="B45" s="12">
        <f>L1/B37</f>
        <v>2.5185185185185185E-2</v>
      </c>
      <c r="C45" s="5">
        <f>L1/C37</f>
        <v>2.4285714285714285E-2</v>
      </c>
      <c r="D45" s="5">
        <f>L1/D37</f>
        <v>2.3448275862068966E-2</v>
      </c>
      <c r="E45" s="5">
        <f>L1*3/E37</f>
        <v>6.8000000000000005E-2</v>
      </c>
      <c r="F45" s="5">
        <f>L1*2/F37</f>
        <v>4.3870967741935482E-2</v>
      </c>
      <c r="G45" s="5">
        <f>L1*2/G37</f>
        <v>4.2500000000000003E-2</v>
      </c>
      <c r="H45" s="12">
        <f>L1*2/H37</f>
        <v>0.04</v>
      </c>
      <c r="I45" s="5">
        <f>L1*2/I37</f>
        <v>3.7777777777777778E-2</v>
      </c>
      <c r="J45" s="5">
        <f>L1*2/J37</f>
        <v>3.5789473684210524E-2</v>
      </c>
      <c r="K45" s="5">
        <f>L1/K37</f>
        <v>1.7000000000000001E-2</v>
      </c>
      <c r="L45" s="12">
        <f>L1*2/L37</f>
        <v>3.2380952380952378E-2</v>
      </c>
      <c r="M45" s="5">
        <f>L1*2/M37</f>
        <v>3.090909090909091E-2</v>
      </c>
      <c r="N45" s="5">
        <f>L1*2/N37</f>
        <v>2.9565217391304348E-2</v>
      </c>
      <c r="O45" s="5">
        <f>L1*2/O37</f>
        <v>2.8333333333333332E-2</v>
      </c>
      <c r="P45" s="5">
        <f>L1*2/P37</f>
        <v>2.7199999999999998E-2</v>
      </c>
      <c r="Q45" s="5">
        <f>L1*2/Q37</f>
        <v>2.6153846153846153E-2</v>
      </c>
      <c r="R45" s="5">
        <f>L1*2/R37</f>
        <v>2.5185185185185185E-2</v>
      </c>
      <c r="S45" s="10"/>
    </row>
    <row r="46" spans="1:19" x14ac:dyDescent="0.25">
      <c r="A46" s="2" t="s">
        <v>8</v>
      </c>
      <c r="B46" s="5">
        <f>SUM(B35+B39+B40+B41+B42+B43+B44+B45)</f>
        <v>5.456296296296296</v>
      </c>
      <c r="C46" s="5">
        <f>SUM(B35+C39+C40+C41+C42+C43+C44+C45)</f>
        <v>5.444285714285714</v>
      </c>
      <c r="D46" s="5">
        <f>B35+D39+D40+D41+D42+D43+D44+D45</f>
        <v>5.4303448275862074</v>
      </c>
      <c r="E46" s="5">
        <f>B35+E39+E40+E41+E42+E43+E44+E45</f>
        <v>5.4653333333333327</v>
      </c>
      <c r="F46" s="5">
        <f>B35+F39+F40+F41+F42+F43+F44+F45</f>
        <v>5.4322580645161294</v>
      </c>
      <c r="G46" s="5">
        <f>B35+G39+G40+G41+G42+G43+G44+G45</f>
        <v>5.4250000000000007</v>
      </c>
      <c r="H46" s="5">
        <f>B35+H39+H40+H41+H42+H43+H44+H45</f>
        <v>5.4352941176470591</v>
      </c>
      <c r="I46" s="5">
        <f>B35+I39+I40+I41+I42+I43+I44+I45</f>
        <v>5.4177777777777774</v>
      </c>
      <c r="J46" s="5">
        <f>B35+J39+J40+J41+J42+J43+J44+J45</f>
        <v>5.4294736842105262</v>
      </c>
      <c r="K46" s="5">
        <f>B35+K39+K40+K41+K42+K43+K44+K45</f>
        <v>5.3470000000000004</v>
      </c>
      <c r="L46" s="5">
        <f>B35+L39+L40+L41+L42+L43+L44+L45</f>
        <v>5.4247619047619047</v>
      </c>
      <c r="M46" s="5">
        <f>B35+M39+M40+M41+M42+M43+M44+M45</f>
        <v>5.4162560965909092</v>
      </c>
      <c r="N46" s="5">
        <f>B35+N39+N40+N41+N42+N43+N44+N45</f>
        <v>5.4208695652173908</v>
      </c>
      <c r="O46" s="5">
        <f>B35+O39+O40+O41+O42+O43+O44+O45</f>
        <v>5.4083333333333332</v>
      </c>
      <c r="P46" s="5">
        <f>B35+P39+P40+P41+P42+P43+P44+P45</f>
        <v>5.4175999999999993</v>
      </c>
      <c r="Q46" s="5">
        <f>B35+Q39+Q40+Q41+Q42+Q43+Q44+Q45</f>
        <v>5.4061538461538463</v>
      </c>
      <c r="R46" s="5">
        <f>B35+R39+R40+R41+R42+R43+R44+R45</f>
        <v>5.4148148148148145</v>
      </c>
    </row>
    <row r="47" spans="1:19" x14ac:dyDescent="0.25">
      <c r="A47" s="1" t="s">
        <v>6</v>
      </c>
      <c r="B47" s="5"/>
      <c r="C47" s="5"/>
      <c r="D47" s="5"/>
      <c r="E47" s="5"/>
      <c r="F47" s="5"/>
      <c r="G47" s="5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9" x14ac:dyDescent="0.25">
      <c r="A48" s="1" t="s">
        <v>7</v>
      </c>
      <c r="B48" s="5">
        <f>B46*5%</f>
        <v>0.27281481481481479</v>
      </c>
      <c r="C48" s="5">
        <f t="shared" ref="C48:R48" si="9">C46*5%</f>
        <v>0.27221428571428569</v>
      </c>
      <c r="D48" s="12">
        <f t="shared" si="9"/>
        <v>0.27151724137931038</v>
      </c>
      <c r="E48" s="5">
        <f t="shared" si="9"/>
        <v>0.27326666666666666</v>
      </c>
      <c r="F48" s="12">
        <f t="shared" si="9"/>
        <v>0.2716129032258065</v>
      </c>
      <c r="G48" s="5">
        <f t="shared" si="9"/>
        <v>0.27125000000000005</v>
      </c>
      <c r="H48" s="5">
        <f t="shared" si="9"/>
        <v>0.27176470588235296</v>
      </c>
      <c r="I48" s="5">
        <f t="shared" si="9"/>
        <v>0.2708888888888889</v>
      </c>
      <c r="J48" s="5">
        <f t="shared" si="9"/>
        <v>0.27147368421052631</v>
      </c>
      <c r="K48" s="5">
        <f t="shared" si="9"/>
        <v>0.26735000000000003</v>
      </c>
      <c r="L48" s="5">
        <f t="shared" si="9"/>
        <v>0.27123809523809522</v>
      </c>
      <c r="M48" s="5">
        <f t="shared" si="9"/>
        <v>0.27081280482954545</v>
      </c>
      <c r="N48" s="5">
        <f t="shared" si="9"/>
        <v>0.27104347826086955</v>
      </c>
      <c r="O48" s="5">
        <f t="shared" si="9"/>
        <v>0.27041666666666669</v>
      </c>
      <c r="P48" s="5">
        <f t="shared" si="9"/>
        <v>0.27087999999999995</v>
      </c>
      <c r="Q48" s="12">
        <f t="shared" si="9"/>
        <v>0.2703076923076923</v>
      </c>
      <c r="R48" s="5">
        <f t="shared" si="9"/>
        <v>0.27074074074074073</v>
      </c>
    </row>
    <row r="49" spans="1:19" ht="15.75" x14ac:dyDescent="0.25">
      <c r="A49" s="3" t="s">
        <v>10</v>
      </c>
      <c r="B49" s="13">
        <f>(B46+B48)</f>
        <v>5.729111111111111</v>
      </c>
      <c r="C49" s="13">
        <f>(C46+C48)</f>
        <v>5.7164999999999999</v>
      </c>
      <c r="D49" s="13">
        <f>(D46+D48)</f>
        <v>5.7018620689655179</v>
      </c>
      <c r="E49" s="13">
        <f>(E46+E48)</f>
        <v>5.738599999999999</v>
      </c>
      <c r="F49" s="13">
        <f>(F46+F48)</f>
        <v>5.7038709677419357</v>
      </c>
      <c r="G49" s="13">
        <f>G46+G48</f>
        <v>5.6962500000000009</v>
      </c>
      <c r="H49" s="13">
        <f t="shared" ref="H49:R49" si="10">H46+H48</f>
        <v>5.7070588235294117</v>
      </c>
      <c r="I49" s="13">
        <f t="shared" si="10"/>
        <v>5.6886666666666663</v>
      </c>
      <c r="J49" s="13">
        <f t="shared" si="10"/>
        <v>5.700947368421053</v>
      </c>
      <c r="K49" s="13">
        <f t="shared" si="10"/>
        <v>5.6143500000000008</v>
      </c>
      <c r="L49" s="13">
        <f t="shared" si="10"/>
        <v>5.6959999999999997</v>
      </c>
      <c r="M49" s="13">
        <f t="shared" si="10"/>
        <v>5.6870689014204547</v>
      </c>
      <c r="N49" s="13">
        <f t="shared" si="10"/>
        <v>5.6919130434782605</v>
      </c>
      <c r="O49" s="13">
        <f t="shared" si="10"/>
        <v>5.67875</v>
      </c>
      <c r="P49" s="13">
        <f t="shared" si="10"/>
        <v>5.6884799999999993</v>
      </c>
      <c r="Q49" s="13">
        <f t="shared" si="10"/>
        <v>5.6764615384615382</v>
      </c>
      <c r="R49" s="13">
        <f t="shared" si="10"/>
        <v>5.6855555555555553</v>
      </c>
    </row>
    <row r="50" spans="1:19" x14ac:dyDescent="0.25">
      <c r="A50" s="1" t="s">
        <v>12</v>
      </c>
      <c r="B50" s="5">
        <f t="shared" ref="B50:R50" si="11">B49*2.5%</f>
        <v>0.14322777777777779</v>
      </c>
      <c r="C50" s="5">
        <f t="shared" si="11"/>
        <v>0.1429125</v>
      </c>
      <c r="D50" s="5">
        <f t="shared" si="11"/>
        <v>0.14254655172413797</v>
      </c>
      <c r="E50" s="5">
        <f t="shared" si="11"/>
        <v>0.14346499999999998</v>
      </c>
      <c r="F50" s="5">
        <f t="shared" si="11"/>
        <v>0.14259677419354841</v>
      </c>
      <c r="G50" s="5">
        <f t="shared" si="11"/>
        <v>0.14240625000000004</v>
      </c>
      <c r="H50" s="5">
        <f t="shared" si="11"/>
        <v>0.14267647058823529</v>
      </c>
      <c r="I50" s="5">
        <f t="shared" si="11"/>
        <v>0.14221666666666666</v>
      </c>
      <c r="J50" s="5">
        <f t="shared" si="11"/>
        <v>0.14252368421052633</v>
      </c>
      <c r="K50" s="5">
        <f>K49*3%</f>
        <v>0.16843050000000001</v>
      </c>
      <c r="L50" s="5">
        <f t="shared" si="11"/>
        <v>0.1424</v>
      </c>
      <c r="M50" s="5">
        <f t="shared" si="11"/>
        <v>0.14217672253551136</v>
      </c>
      <c r="N50" s="5">
        <f t="shared" si="11"/>
        <v>0.14229782608695651</v>
      </c>
      <c r="O50" s="5">
        <f t="shared" si="11"/>
        <v>0.14196875</v>
      </c>
      <c r="P50" s="5">
        <f t="shared" si="11"/>
        <v>0.14221199999999998</v>
      </c>
      <c r="Q50" s="5">
        <f t="shared" si="11"/>
        <v>0.14191153846153845</v>
      </c>
      <c r="R50" s="5">
        <f t="shared" si="11"/>
        <v>0.1421388888888889</v>
      </c>
      <c r="S50" s="5"/>
    </row>
    <row r="51" spans="1:19" ht="15.75" x14ac:dyDescent="0.25">
      <c r="A51" s="3" t="s">
        <v>11</v>
      </c>
      <c r="B51" s="13">
        <f>(B49+B50)</f>
        <v>5.8723388888888888</v>
      </c>
      <c r="C51" s="13">
        <f>(C49+C50)</f>
        <v>5.8594124999999995</v>
      </c>
      <c r="D51" s="13">
        <f t="shared" ref="D51:R51" si="12">(D49+D50)</f>
        <v>5.8444086206896557</v>
      </c>
      <c r="E51" s="13">
        <f t="shared" si="12"/>
        <v>5.882064999999999</v>
      </c>
      <c r="F51" s="13">
        <f t="shared" si="12"/>
        <v>5.8464677419354842</v>
      </c>
      <c r="G51" s="13">
        <f t="shared" si="12"/>
        <v>5.8386562500000005</v>
      </c>
      <c r="H51" s="13">
        <f t="shared" si="12"/>
        <v>5.8497352941176466</v>
      </c>
      <c r="I51" s="13">
        <f t="shared" si="12"/>
        <v>5.8308833333333325</v>
      </c>
      <c r="J51" s="13">
        <f t="shared" si="12"/>
        <v>5.8434710526315792</v>
      </c>
      <c r="K51" s="13">
        <f t="shared" si="12"/>
        <v>5.7827805000000012</v>
      </c>
      <c r="L51" s="13">
        <f t="shared" si="12"/>
        <v>5.8384</v>
      </c>
      <c r="M51" s="13">
        <f t="shared" si="12"/>
        <v>5.8292456239559662</v>
      </c>
      <c r="N51" s="13">
        <f t="shared" si="12"/>
        <v>5.8342108695652168</v>
      </c>
      <c r="O51" s="13">
        <f t="shared" si="12"/>
        <v>5.8207187500000002</v>
      </c>
      <c r="P51" s="13">
        <f t="shared" si="12"/>
        <v>5.8306919999999991</v>
      </c>
      <c r="Q51" s="13">
        <f t="shared" si="12"/>
        <v>5.818373076923077</v>
      </c>
      <c r="R51" s="13">
        <f t="shared" si="12"/>
        <v>5.8276944444444441</v>
      </c>
    </row>
    <row r="53" spans="1:19" ht="15.75" x14ac:dyDescent="0.25">
      <c r="A53" s="3"/>
      <c r="B53" s="13"/>
    </row>
    <row r="54" spans="1:19" ht="15.75" x14ac:dyDescent="0.25">
      <c r="A54" s="8" t="s">
        <v>14</v>
      </c>
      <c r="B54" s="22">
        <v>1400</v>
      </c>
      <c r="C54" s="22">
        <v>1450</v>
      </c>
      <c r="D54" s="22">
        <v>1500</v>
      </c>
      <c r="E54" s="22">
        <v>1550</v>
      </c>
      <c r="F54" s="22">
        <v>1600</v>
      </c>
      <c r="G54" s="22">
        <v>1650</v>
      </c>
      <c r="H54" s="22">
        <v>1700</v>
      </c>
      <c r="I54" s="22">
        <v>1750</v>
      </c>
      <c r="J54" s="22">
        <v>1800</v>
      </c>
      <c r="K54" s="22">
        <v>1850</v>
      </c>
      <c r="L54" s="22">
        <v>1900</v>
      </c>
      <c r="M54" s="22">
        <v>1950</v>
      </c>
      <c r="N54" s="22">
        <v>2000</v>
      </c>
      <c r="O54" s="22">
        <v>2050</v>
      </c>
      <c r="P54" s="22">
        <v>2100</v>
      </c>
      <c r="Q54" s="22">
        <v>2150</v>
      </c>
      <c r="R54" s="22">
        <v>2200</v>
      </c>
    </row>
    <row r="55" spans="1:19" x14ac:dyDescent="0.25">
      <c r="A55" t="s">
        <v>1</v>
      </c>
      <c r="B55" s="1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9" x14ac:dyDescent="0.25">
      <c r="A56" t="s">
        <v>9</v>
      </c>
      <c r="B56" s="5">
        <f>(B55/60)*R1/B54</f>
        <v>0</v>
      </c>
      <c r="C56" s="5">
        <f>(C55/60)*R1/C54</f>
        <v>0</v>
      </c>
      <c r="D56" s="12">
        <f>(D55/60)*R1/D54</f>
        <v>0</v>
      </c>
      <c r="E56" s="5">
        <f>(E55/60)*R1/E54</f>
        <v>0</v>
      </c>
      <c r="F56" s="5">
        <f>(F55/60)*R1/F54</f>
        <v>0</v>
      </c>
      <c r="G56" s="5">
        <f>(G55/60)*R1/G54</f>
        <v>0</v>
      </c>
      <c r="H56" s="5">
        <f>(H55/60)*R1/H54</f>
        <v>0</v>
      </c>
      <c r="I56" s="5">
        <f>(I55/60)*R1/I54</f>
        <v>0</v>
      </c>
      <c r="J56" s="12">
        <f>(J55/60)*R1/J54</f>
        <v>0</v>
      </c>
      <c r="K56" s="5">
        <f>(K55/60)*R1/K54</f>
        <v>0</v>
      </c>
      <c r="L56" s="5">
        <f>(L55/60)*R1/L54</f>
        <v>0</v>
      </c>
      <c r="M56" s="5">
        <f>(M55/60)*R1/M54</f>
        <v>0</v>
      </c>
      <c r="N56" s="5">
        <f>(N55/60)*R1/N54</f>
        <v>0</v>
      </c>
      <c r="O56" s="5">
        <f>(O55/60)*R1/O54</f>
        <v>0</v>
      </c>
      <c r="P56" s="5">
        <f>(P55/60)*R1/P54</f>
        <v>0</v>
      </c>
      <c r="Q56" s="5">
        <f>(Q55/60)*R1/Q54</f>
        <v>0</v>
      </c>
      <c r="R56" s="5">
        <f>(R55/60)*R1/R54</f>
        <v>0</v>
      </c>
    </row>
    <row r="57" spans="1:19" x14ac:dyDescent="0.25">
      <c r="A57" t="s">
        <v>16</v>
      </c>
      <c r="B57" s="5">
        <f>Q35/B54</f>
        <v>0</v>
      </c>
      <c r="C57" s="5">
        <f>Q35/C54</f>
        <v>0</v>
      </c>
      <c r="D57" s="12">
        <f>Q35/D54</f>
        <v>0</v>
      </c>
      <c r="E57" s="12">
        <f>Q35/E54</f>
        <v>0</v>
      </c>
      <c r="F57" s="12">
        <f>Q35/F54</f>
        <v>0</v>
      </c>
      <c r="G57" s="5">
        <f>Q35/G54</f>
        <v>0</v>
      </c>
      <c r="H57" s="5">
        <f>Q35/H54</f>
        <v>0</v>
      </c>
      <c r="I57" s="5">
        <f>Q35/I54</f>
        <v>0</v>
      </c>
      <c r="J57" s="5">
        <f>Q35/J54</f>
        <v>0</v>
      </c>
      <c r="K57" s="5">
        <f>Q35/K54</f>
        <v>0</v>
      </c>
      <c r="L57" s="5">
        <f>Q35/L54</f>
        <v>0</v>
      </c>
      <c r="M57" s="12">
        <f>Q35/M54</f>
        <v>0</v>
      </c>
      <c r="N57" s="5">
        <f>Q35/N54</f>
        <v>0</v>
      </c>
      <c r="O57" s="5">
        <f>Q35/O54</f>
        <v>0</v>
      </c>
      <c r="P57" s="5">
        <f>Q35/P54</f>
        <v>0</v>
      </c>
      <c r="Q57" s="5">
        <f>Q35/Q54</f>
        <v>0</v>
      </c>
      <c r="R57" s="5">
        <f>Q35/R54</f>
        <v>0</v>
      </c>
    </row>
    <row r="58" spans="1:19" x14ac:dyDescent="0.25">
      <c r="A58" t="s">
        <v>15</v>
      </c>
      <c r="B58" s="5">
        <f>P35/B54</f>
        <v>0</v>
      </c>
      <c r="C58" s="5">
        <f>P35/C54</f>
        <v>0</v>
      </c>
      <c r="D58" s="12">
        <f>P35/D54</f>
        <v>0</v>
      </c>
      <c r="E58" s="5">
        <f>P35/E54</f>
        <v>0</v>
      </c>
      <c r="F58" s="5">
        <f>P35/F54</f>
        <v>0</v>
      </c>
      <c r="G58" s="5">
        <f>P35/G54</f>
        <v>0</v>
      </c>
      <c r="H58" s="5">
        <f>P35/H54</f>
        <v>0</v>
      </c>
      <c r="I58" s="12">
        <f>P35/I54</f>
        <v>0</v>
      </c>
      <c r="J58" s="5">
        <f>P35/J54</f>
        <v>0</v>
      </c>
      <c r="K58" s="5">
        <f>P35/K54</f>
        <v>0</v>
      </c>
      <c r="L58" s="5">
        <f>P35/L54</f>
        <v>0</v>
      </c>
      <c r="M58" s="5">
        <f>P35/M54</f>
        <v>0</v>
      </c>
      <c r="N58" s="5">
        <f>P35/N54</f>
        <v>0</v>
      </c>
      <c r="O58" s="5">
        <f>P35/O54</f>
        <v>0</v>
      </c>
      <c r="P58" s="5">
        <f>P35/P54</f>
        <v>0</v>
      </c>
      <c r="Q58" s="5">
        <f>P35/Q54</f>
        <v>0</v>
      </c>
      <c r="R58" s="5">
        <f>P35/R54</f>
        <v>0</v>
      </c>
    </row>
    <row r="59" spans="1:19" x14ac:dyDescent="0.25">
      <c r="A59" t="s">
        <v>2</v>
      </c>
      <c r="B59" s="5">
        <f>O35*14/B54</f>
        <v>0.26</v>
      </c>
      <c r="C59" s="5">
        <f>O35*15/C54</f>
        <v>0.26896551724137929</v>
      </c>
      <c r="D59" s="5"/>
      <c r="E59" s="5">
        <f>O35*16/E54</f>
        <v>0.26838709677419353</v>
      </c>
      <c r="F59" s="12">
        <f>O35*16/F54</f>
        <v>0.26</v>
      </c>
      <c r="G59" s="5">
        <f>O35*17/G54</f>
        <v>0.26787878787878788</v>
      </c>
      <c r="H59" s="5">
        <f>O35*17/H54</f>
        <v>0.26</v>
      </c>
      <c r="I59" s="5">
        <f>O35*18/I54</f>
        <v>0.2674285714285714</v>
      </c>
      <c r="J59" s="5">
        <f>O35*18/J54</f>
        <v>0.26</v>
      </c>
      <c r="K59" s="5">
        <f>O35*19/K54</f>
        <v>0.26702702702702702</v>
      </c>
      <c r="L59" s="5">
        <f>O35*19/L54</f>
        <v>0.26</v>
      </c>
      <c r="M59" s="5">
        <f>O35*20/M54</f>
        <v>0.26666666666666666</v>
      </c>
      <c r="N59" s="5">
        <f>O35*20/N54</f>
        <v>0.26</v>
      </c>
      <c r="O59" s="5">
        <f>O35*21/O54</f>
        <v>0.26634146341463416</v>
      </c>
      <c r="P59" s="5">
        <f>O35*6/P54</f>
        <v>7.4285714285714288E-2</v>
      </c>
      <c r="Q59" s="5">
        <f>O35*6/Q54</f>
        <v>7.2558139534883714E-2</v>
      </c>
      <c r="R59" s="5">
        <f>O35*7/R54</f>
        <v>8.2727272727272733E-2</v>
      </c>
    </row>
    <row r="60" spans="1:19" x14ac:dyDescent="0.25">
      <c r="A60" s="1" t="s">
        <v>3</v>
      </c>
      <c r="B60" s="5"/>
      <c r="C60" s="5"/>
      <c r="D60" s="5">
        <f>N35*2/D54</f>
        <v>0.28000000000000003</v>
      </c>
      <c r="E60" s="5"/>
      <c r="F60" s="1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9" x14ac:dyDescent="0.25">
      <c r="A61" s="1" t="s">
        <v>4</v>
      </c>
      <c r="B61" s="5">
        <f>M34/B54</f>
        <v>4.1761428571428566E-3</v>
      </c>
      <c r="C61" s="5">
        <f>M34/C54</f>
        <v>4.0321379310344829E-3</v>
      </c>
      <c r="D61" s="5">
        <f>M34/D54</f>
        <v>3.8977333333333332E-3</v>
      </c>
      <c r="E61" s="5">
        <f>M34/E54</f>
        <v>3.7719999999999997E-3</v>
      </c>
      <c r="F61" s="12">
        <f>M35*2/F54</f>
        <v>0</v>
      </c>
      <c r="G61" s="5">
        <f>M34*2/G54</f>
        <v>7.0867878787878782E-3</v>
      </c>
      <c r="H61" s="5">
        <f>M34*2/H54</f>
        <v>6.87835294117647E-3</v>
      </c>
      <c r="I61" s="5">
        <f>M34*2/I54</f>
        <v>6.681828571428571E-3</v>
      </c>
      <c r="J61" s="5">
        <f>M34*2/J54</f>
        <v>6.4962222222222218E-3</v>
      </c>
      <c r="K61" s="5">
        <f>M34*2/K54</f>
        <v>6.3206486486486486E-3</v>
      </c>
      <c r="L61" s="5">
        <f>M34*2/L54</f>
        <v>6.154315789473684E-3</v>
      </c>
      <c r="M61" s="5">
        <f>M34*2/M54</f>
        <v>5.9965128205128199E-3</v>
      </c>
      <c r="N61" s="5">
        <f>M34*2/N54</f>
        <v>5.8465999999999995E-3</v>
      </c>
      <c r="O61" s="5">
        <f>M34*2/O54</f>
        <v>5.7039999999999999E-3</v>
      </c>
      <c r="P61" s="5">
        <f>M34*2/P54</f>
        <v>5.5681904761904757E-3</v>
      </c>
      <c r="Q61" s="5">
        <f>M34*2/Q54</f>
        <v>5.4386976744186044E-3</v>
      </c>
      <c r="R61" s="5">
        <f>M34*3/R54</f>
        <v>7.972636363636364E-3</v>
      </c>
    </row>
    <row r="62" spans="1:19" x14ac:dyDescent="0.25">
      <c r="A62" s="1" t="s">
        <v>5</v>
      </c>
      <c r="B62" s="12">
        <f>L35/B54</f>
        <v>1.2142857142857143E-2</v>
      </c>
      <c r="C62" s="5">
        <f>L35/C54</f>
        <v>1.1724137931034483E-2</v>
      </c>
      <c r="D62" s="5">
        <f>L35*2/D54</f>
        <v>2.2666666666666668E-2</v>
      </c>
      <c r="E62" s="5">
        <f>L35/E54</f>
        <v>1.0967741935483871E-2</v>
      </c>
      <c r="F62" s="5">
        <f>L35*2/F54</f>
        <v>2.1250000000000002E-2</v>
      </c>
      <c r="G62" s="5">
        <f>L35*2/G54</f>
        <v>2.0606060606060607E-2</v>
      </c>
      <c r="H62" s="12">
        <f>L35*2/H54</f>
        <v>0.02</v>
      </c>
      <c r="I62" s="5">
        <f>L35*2/I54</f>
        <v>1.9428571428571427E-2</v>
      </c>
      <c r="J62" s="5">
        <f>L35*2/J54</f>
        <v>1.8888888888888889E-2</v>
      </c>
      <c r="K62" s="5">
        <f>L35*2/K54</f>
        <v>1.8378378378378378E-2</v>
      </c>
      <c r="L62" s="12">
        <f>L35*2/L54</f>
        <v>1.7894736842105262E-2</v>
      </c>
      <c r="M62" s="5">
        <f>L35*2/M54</f>
        <v>1.7435897435897435E-2</v>
      </c>
      <c r="N62" s="5">
        <f>L35*2/N54</f>
        <v>1.7000000000000001E-2</v>
      </c>
      <c r="O62" s="5">
        <f>L35*2/O54</f>
        <v>1.6585365853658537E-2</v>
      </c>
      <c r="P62" s="5">
        <f>L35*2/P54</f>
        <v>1.6190476190476189E-2</v>
      </c>
      <c r="Q62" s="5">
        <f>L35*2/Q54</f>
        <v>1.5813953488372091E-2</v>
      </c>
      <c r="R62" s="5">
        <f>L35*2/R54</f>
        <v>1.5454545454545455E-2</v>
      </c>
    </row>
    <row r="63" spans="1:19" x14ac:dyDescent="0.25">
      <c r="A63" s="2" t="s">
        <v>8</v>
      </c>
      <c r="B63" s="5">
        <f>B35+B56+B57+B58+B59+B60+B61+B62</f>
        <v>5.3963190000000001</v>
      </c>
      <c r="C63" s="5">
        <f>B35+C56+C57+C58+C59+C60+C61+C62</f>
        <v>5.4047217931034481</v>
      </c>
      <c r="D63" s="5">
        <f>B35+D56+D57+D58+D59+D60+D61+D62</f>
        <v>5.4265644000000002</v>
      </c>
      <c r="E63" s="5">
        <f>B35+E56+E57+E58+E59+E60+E61+E62</f>
        <v>5.4031268387096771</v>
      </c>
      <c r="F63" s="5">
        <f>B35+F56+F57+F58+F59+F60+F61+F62</f>
        <v>5.4012500000000001</v>
      </c>
      <c r="G63" s="5">
        <f>B35+G56+G57+G58+G59+G60+G61+G62</f>
        <v>5.4155716363636364</v>
      </c>
      <c r="H63" s="5">
        <f>B35+H56+H57+H58+H59+H60+H61+H62</f>
        <v>5.4068783529411757</v>
      </c>
      <c r="I63" s="5">
        <f>B35+I56+I57+I58+I59+I60+I61+I62</f>
        <v>5.4135389714285722</v>
      </c>
      <c r="J63" s="5">
        <f>B35+J56+J57+J58+J59+J60+J61+J62</f>
        <v>5.4053851111111113</v>
      </c>
      <c r="K63" s="5">
        <f>B35+K56+K57+K58+K59+K60+K61+K62</f>
        <v>5.4117260540540544</v>
      </c>
      <c r="L63" s="5">
        <f>B35+L56+L57+L58+L59+L60+L61+L62</f>
        <v>5.4040490526315796</v>
      </c>
      <c r="M63" s="5">
        <f>B35+M56+M57+M58+M59+M60+M61+M62</f>
        <v>5.4100990769230766</v>
      </c>
      <c r="N63" s="5">
        <f>B35+N56+N57+N58+N59+N60+N61+N62</f>
        <v>5.4028466000000002</v>
      </c>
      <c r="O63" s="5">
        <f>B35+O56+O57+O58+O59+O60+O61+O62</f>
        <v>5.4086308292682928</v>
      </c>
      <c r="P63" s="5">
        <f>B35+P56+P57+P58+P59+P60+P61+P62</f>
        <v>5.2160443809523809</v>
      </c>
      <c r="Q63" s="5">
        <f>B35+Q56+Q57+Q58+Q59+Q60+Q61+Q62</f>
        <v>5.2138107906976749</v>
      </c>
      <c r="R63" s="5">
        <f>B35+R56+R57+R58+R59+R60+R61+R62</f>
        <v>5.2261544545454548</v>
      </c>
    </row>
    <row r="64" spans="1:19" x14ac:dyDescent="0.25">
      <c r="A64" s="1" t="s">
        <v>6</v>
      </c>
      <c r="B64" s="5"/>
      <c r="C64" s="5"/>
      <c r="D64" s="5"/>
      <c r="E64" s="5"/>
      <c r="F64" s="5"/>
      <c r="G64" s="5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 x14ac:dyDescent="0.25">
      <c r="A65" s="1" t="s">
        <v>7</v>
      </c>
      <c r="B65" s="5">
        <f>B63*5%</f>
        <v>0.26981595000000003</v>
      </c>
      <c r="C65" s="5">
        <f t="shared" ref="C65:R65" si="13">C63*5%</f>
        <v>0.27023608965517243</v>
      </c>
      <c r="D65" s="12">
        <f t="shared" si="13"/>
        <v>0.27132822000000001</v>
      </c>
      <c r="E65" s="5">
        <f t="shared" si="13"/>
        <v>0.27015634193548388</v>
      </c>
      <c r="F65" s="12">
        <f t="shared" si="13"/>
        <v>0.27006250000000004</v>
      </c>
      <c r="G65" s="5">
        <f t="shared" si="13"/>
        <v>0.27077858181818182</v>
      </c>
      <c r="H65" s="5">
        <f t="shared" si="13"/>
        <v>0.27034391764705878</v>
      </c>
      <c r="I65" s="5">
        <f t="shared" si="13"/>
        <v>0.2706769485714286</v>
      </c>
      <c r="J65" s="5">
        <f t="shared" si="13"/>
        <v>0.27026925555555559</v>
      </c>
      <c r="K65" s="5">
        <f t="shared" si="13"/>
        <v>0.27058630270270273</v>
      </c>
      <c r="L65" s="5">
        <f t="shared" si="13"/>
        <v>0.27020245263157899</v>
      </c>
      <c r="M65" s="5">
        <f t="shared" si="13"/>
        <v>0.27050495384615386</v>
      </c>
      <c r="N65" s="5">
        <f t="shared" si="13"/>
        <v>0.27014233000000004</v>
      </c>
      <c r="O65" s="5">
        <f t="shared" si="13"/>
        <v>0.27043154146341464</v>
      </c>
      <c r="P65" s="5">
        <f t="shared" si="13"/>
        <v>0.26080221904761908</v>
      </c>
      <c r="Q65" s="12">
        <f t="shared" si="13"/>
        <v>0.26069053953488375</v>
      </c>
      <c r="R65" s="5">
        <f t="shared" si="13"/>
        <v>0.26130772272727276</v>
      </c>
    </row>
    <row r="66" spans="1:18" ht="15.75" x14ac:dyDescent="0.25">
      <c r="A66" s="3" t="s">
        <v>10</v>
      </c>
      <c r="B66" s="13">
        <f>(B63+B65)</f>
        <v>5.66613495</v>
      </c>
      <c r="C66" s="13">
        <f>(C63+C65)</f>
        <v>5.6749578827586209</v>
      </c>
      <c r="D66" s="13">
        <f>(D63+D65)</f>
        <v>5.6978926200000002</v>
      </c>
      <c r="E66" s="13">
        <f>(E63+E65)</f>
        <v>5.6732831806451607</v>
      </c>
      <c r="F66" s="13">
        <f>(F63+F65)</f>
        <v>5.6713125</v>
      </c>
      <c r="G66" s="13">
        <f>G63+G65</f>
        <v>5.6863502181818184</v>
      </c>
      <c r="H66" s="13">
        <f t="shared" ref="H66:R66" si="14">H63+H65</f>
        <v>5.6772222705882349</v>
      </c>
      <c r="I66" s="13">
        <f t="shared" si="14"/>
        <v>5.6842159200000006</v>
      </c>
      <c r="J66" s="13">
        <f t="shared" si="14"/>
        <v>5.6756543666666666</v>
      </c>
      <c r="K66" s="13">
        <f t="shared" si="14"/>
        <v>5.6823123567567571</v>
      </c>
      <c r="L66" s="13">
        <f t="shared" si="14"/>
        <v>5.6742515052631584</v>
      </c>
      <c r="M66" s="13">
        <f t="shared" si="14"/>
        <v>5.6806040307692305</v>
      </c>
      <c r="N66" s="13">
        <f t="shared" si="14"/>
        <v>5.6729889299999998</v>
      </c>
      <c r="O66" s="13">
        <f t="shared" si="14"/>
        <v>5.6790623707317076</v>
      </c>
      <c r="P66" s="13">
        <f t="shared" si="14"/>
        <v>5.4768466</v>
      </c>
      <c r="Q66" s="13">
        <f t="shared" si="14"/>
        <v>5.4745013302325587</v>
      </c>
      <c r="R66" s="13">
        <f t="shared" si="14"/>
        <v>5.4874621772727279</v>
      </c>
    </row>
    <row r="67" spans="1:18" x14ac:dyDescent="0.25">
      <c r="A67" s="1" t="s">
        <v>12</v>
      </c>
      <c r="B67" s="5">
        <f t="shared" ref="B67:R67" si="15">B66*2.5%</f>
        <v>0.14165337375000001</v>
      </c>
      <c r="C67" s="5">
        <f t="shared" si="15"/>
        <v>0.14187394706896553</v>
      </c>
      <c r="D67" s="5">
        <f>D66*3%</f>
        <v>0.17093677860000001</v>
      </c>
      <c r="E67" s="5">
        <f t="shared" si="15"/>
        <v>0.14183207951612903</v>
      </c>
      <c r="F67" s="5">
        <f t="shared" si="15"/>
        <v>0.14178281249999999</v>
      </c>
      <c r="G67" s="5">
        <f t="shared" si="15"/>
        <v>0.14215875545454545</v>
      </c>
      <c r="H67" s="5">
        <f t="shared" si="15"/>
        <v>0.14193055676470587</v>
      </c>
      <c r="I67" s="5">
        <f t="shared" si="15"/>
        <v>0.14210539800000002</v>
      </c>
      <c r="J67" s="5">
        <f t="shared" si="15"/>
        <v>0.14189135916666668</v>
      </c>
      <c r="K67" s="5">
        <f t="shared" si="15"/>
        <v>0.14205780891891892</v>
      </c>
      <c r="L67" s="5">
        <f t="shared" si="15"/>
        <v>0.14185628763157895</v>
      </c>
      <c r="M67" s="5">
        <f t="shared" si="15"/>
        <v>0.14201510076923077</v>
      </c>
      <c r="N67" s="5">
        <f t="shared" si="15"/>
        <v>0.14182472325000001</v>
      </c>
      <c r="O67" s="5">
        <f t="shared" si="15"/>
        <v>0.1419765592682927</v>
      </c>
      <c r="P67" s="5">
        <f t="shared" si="15"/>
        <v>0.13692116500000001</v>
      </c>
      <c r="Q67" s="5">
        <f t="shared" si="15"/>
        <v>0.13686253325581396</v>
      </c>
      <c r="R67" s="5">
        <f t="shared" si="15"/>
        <v>0.13718655443181821</v>
      </c>
    </row>
    <row r="68" spans="1:18" ht="15.75" x14ac:dyDescent="0.25">
      <c r="A68" s="3" t="s">
        <v>11</v>
      </c>
      <c r="B68" s="13">
        <f>(B66+B67)</f>
        <v>5.8077883237499996</v>
      </c>
      <c r="C68" s="13">
        <f t="shared" ref="C68:R68" si="16">(C66+C67)</f>
        <v>5.8168318298275867</v>
      </c>
      <c r="D68" s="13">
        <f>(D66+D67)</f>
        <v>5.8688293986</v>
      </c>
      <c r="E68" s="13">
        <f t="shared" si="16"/>
        <v>5.8151152601612894</v>
      </c>
      <c r="F68" s="13">
        <f t="shared" si="16"/>
        <v>5.8130953124999998</v>
      </c>
      <c r="G68" s="13">
        <f t="shared" si="16"/>
        <v>5.8285089736363638</v>
      </c>
      <c r="H68" s="13">
        <f t="shared" si="16"/>
        <v>5.8191528273529407</v>
      </c>
      <c r="I68" s="13">
        <f t="shared" si="16"/>
        <v>5.8263213180000006</v>
      </c>
      <c r="J68" s="13">
        <f t="shared" si="16"/>
        <v>5.817545725833333</v>
      </c>
      <c r="K68" s="13">
        <f t="shared" si="16"/>
        <v>5.8243701656756759</v>
      </c>
      <c r="L68" s="13">
        <f t="shared" si="16"/>
        <v>5.8161077928947371</v>
      </c>
      <c r="M68" s="13">
        <f t="shared" si="16"/>
        <v>5.8226191315384614</v>
      </c>
      <c r="N68" s="13">
        <f t="shared" si="16"/>
        <v>5.8148136532499999</v>
      </c>
      <c r="O68" s="13">
        <f t="shared" si="16"/>
        <v>5.8210389300000003</v>
      </c>
      <c r="P68" s="13">
        <f t="shared" si="16"/>
        <v>5.6137677650000004</v>
      </c>
      <c r="Q68" s="13">
        <f t="shared" si="16"/>
        <v>5.6113638634883722</v>
      </c>
      <c r="R68" s="13">
        <f t="shared" si="16"/>
        <v>5.6246487317045464</v>
      </c>
    </row>
    <row r="69" spans="1:18" ht="18.75" x14ac:dyDescent="0.3">
      <c r="A69" s="4" t="s">
        <v>0</v>
      </c>
      <c r="B69" s="11">
        <f>B1</f>
        <v>5.12</v>
      </c>
      <c r="C69">
        <f>C1</f>
        <v>0</v>
      </c>
      <c r="L69">
        <f>L1</f>
        <v>17</v>
      </c>
      <c r="N69">
        <f>N1</f>
        <v>210</v>
      </c>
      <c r="O69">
        <f>O1</f>
        <v>26</v>
      </c>
      <c r="P69">
        <f>P1</f>
        <v>0</v>
      </c>
      <c r="Q69">
        <f>Q1</f>
        <v>0</v>
      </c>
      <c r="R69">
        <f>R35</f>
        <v>239</v>
      </c>
    </row>
    <row r="70" spans="1:18" ht="15.75" x14ac:dyDescent="0.25">
      <c r="A70" s="3" t="s">
        <v>13</v>
      </c>
      <c r="B70" s="13"/>
    </row>
    <row r="71" spans="1:18" ht="15.75" x14ac:dyDescent="0.25">
      <c r="A71" s="8" t="s">
        <v>14</v>
      </c>
      <c r="B71" s="22">
        <v>2250</v>
      </c>
      <c r="C71" s="22">
        <v>2300</v>
      </c>
      <c r="D71" s="22">
        <v>2350</v>
      </c>
      <c r="E71" s="22">
        <v>2400</v>
      </c>
      <c r="F71" s="22">
        <v>2450</v>
      </c>
      <c r="G71" s="22">
        <v>2500</v>
      </c>
      <c r="H71" s="22">
        <v>2550</v>
      </c>
      <c r="I71" s="22">
        <v>2600</v>
      </c>
      <c r="J71" s="22">
        <v>2650</v>
      </c>
      <c r="K71" s="22">
        <v>2700</v>
      </c>
      <c r="L71" s="22">
        <v>2750</v>
      </c>
      <c r="M71" s="22">
        <v>2800</v>
      </c>
      <c r="N71" s="22">
        <v>2850</v>
      </c>
      <c r="O71" s="22">
        <v>2900</v>
      </c>
      <c r="P71" s="22">
        <v>2950</v>
      </c>
      <c r="Q71" s="15">
        <v>3000</v>
      </c>
      <c r="R71" s="22">
        <v>3100</v>
      </c>
    </row>
    <row r="72" spans="1:18" x14ac:dyDescent="0.25">
      <c r="A72" t="s">
        <v>1</v>
      </c>
      <c r="B72" s="1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16">
        <v>675</v>
      </c>
      <c r="R72" s="23"/>
    </row>
    <row r="73" spans="1:18" x14ac:dyDescent="0.25">
      <c r="A73" t="s">
        <v>9</v>
      </c>
      <c r="B73" s="5">
        <f>(B72/60)*R1/B71</f>
        <v>0</v>
      </c>
      <c r="C73" s="5">
        <f>(C72/60)*R69/C71</f>
        <v>0</v>
      </c>
      <c r="D73" s="5">
        <f>(D72/60)*R69/D71</f>
        <v>0</v>
      </c>
      <c r="E73" s="5">
        <f>(E72/60)*R69/E71</f>
        <v>0</v>
      </c>
      <c r="F73" s="5">
        <f>(F72/60)*R69/F71</f>
        <v>0</v>
      </c>
      <c r="G73" s="5">
        <f>(G72/60)*R69/G71</f>
        <v>0</v>
      </c>
      <c r="H73" s="5">
        <f>(H72/60)*R69/H71</f>
        <v>0</v>
      </c>
      <c r="I73" s="5">
        <f>(I72/60)*R69/I71</f>
        <v>0</v>
      </c>
      <c r="J73" s="12">
        <f>(J72/60)*R69/J71</f>
        <v>0</v>
      </c>
      <c r="K73" s="5">
        <f>(K72/60)*R69/K71</f>
        <v>0</v>
      </c>
      <c r="L73" s="5">
        <f>(L72/60)*R69/L71</f>
        <v>0</v>
      </c>
      <c r="M73" s="5">
        <f>(M72/60)*R69/M71</f>
        <v>0</v>
      </c>
      <c r="N73" s="5">
        <f>(N72/60)*R69/N71</f>
        <v>0</v>
      </c>
      <c r="O73" s="5">
        <f>(O72/60)*R69/O71</f>
        <v>0</v>
      </c>
      <c r="P73" s="5">
        <f>(P72/60)*R69/P71</f>
        <v>0</v>
      </c>
      <c r="Q73" s="17">
        <f>(Q72/60)*R69/Q71</f>
        <v>0.89624999999999999</v>
      </c>
      <c r="R73" s="5">
        <f>(R72/60)*R69/R71</f>
        <v>0</v>
      </c>
    </row>
    <row r="74" spans="1:18" x14ac:dyDescent="0.25">
      <c r="A74" t="s">
        <v>16</v>
      </c>
      <c r="B74" s="5">
        <f>Q69/B71</f>
        <v>0</v>
      </c>
      <c r="C74" s="5">
        <f>Q69/C71</f>
        <v>0</v>
      </c>
      <c r="D74" s="12">
        <f>Q69/D71</f>
        <v>0</v>
      </c>
      <c r="E74" s="5">
        <f>Q69/E71</f>
        <v>0</v>
      </c>
      <c r="F74" s="12">
        <f>Q69/F71</f>
        <v>0</v>
      </c>
      <c r="G74" s="5">
        <f>Q69/G71</f>
        <v>0</v>
      </c>
      <c r="H74" s="5">
        <f>Q69/H71</f>
        <v>0</v>
      </c>
      <c r="I74" s="5">
        <f>Q69/I71</f>
        <v>0</v>
      </c>
      <c r="J74" s="5">
        <f>Q69/J71</f>
        <v>0</v>
      </c>
      <c r="K74" s="5">
        <f>Q69/K71</f>
        <v>0</v>
      </c>
      <c r="L74" s="5">
        <f>Q69/L71</f>
        <v>0</v>
      </c>
      <c r="M74" s="12">
        <f>Q69*3/M71</f>
        <v>0</v>
      </c>
      <c r="N74" s="5">
        <f>Q69/N71</f>
        <v>0</v>
      </c>
      <c r="O74" s="5">
        <f>Q69/O71</f>
        <v>0</v>
      </c>
      <c r="P74" s="5">
        <f>Q69/P71</f>
        <v>0</v>
      </c>
      <c r="Q74" s="17">
        <f>Q69/Q71</f>
        <v>0</v>
      </c>
      <c r="R74" s="5">
        <f>Q69/R71</f>
        <v>0</v>
      </c>
    </row>
    <row r="75" spans="1:18" x14ac:dyDescent="0.25">
      <c r="A75" t="s">
        <v>15</v>
      </c>
      <c r="B75" s="5">
        <f>P69/B71</f>
        <v>0</v>
      </c>
      <c r="C75" s="5">
        <f>P69/C71</f>
        <v>0</v>
      </c>
      <c r="D75" s="12">
        <f>P69/D71</f>
        <v>0</v>
      </c>
      <c r="E75" s="5">
        <f>P69/E71</f>
        <v>0</v>
      </c>
      <c r="F75" s="5">
        <f>P69/F71</f>
        <v>0</v>
      </c>
      <c r="G75" s="5">
        <f>P69/G71</f>
        <v>0</v>
      </c>
      <c r="H75" s="5">
        <f>P69/H71</f>
        <v>0</v>
      </c>
      <c r="I75" s="12">
        <f>P69/I71</f>
        <v>0</v>
      </c>
      <c r="J75" s="5">
        <f>P69/J71</f>
        <v>0</v>
      </c>
      <c r="K75" s="5">
        <f>P69/K71</f>
        <v>0</v>
      </c>
      <c r="L75" s="5">
        <f>P69/L71</f>
        <v>0</v>
      </c>
      <c r="M75" s="5">
        <f>P69*3/M71</f>
        <v>0</v>
      </c>
      <c r="N75" s="5">
        <f>P69/N71</f>
        <v>0</v>
      </c>
      <c r="O75" s="5">
        <f>P69/O71</f>
        <v>0</v>
      </c>
      <c r="P75" s="5">
        <f>P69/P71</f>
        <v>0</v>
      </c>
      <c r="Q75" s="17">
        <f>P69/Q71</f>
        <v>0</v>
      </c>
      <c r="R75" s="5">
        <f>P69/R71</f>
        <v>0</v>
      </c>
    </row>
    <row r="76" spans="1:18" x14ac:dyDescent="0.25">
      <c r="A76" t="s">
        <v>2</v>
      </c>
      <c r="B76" s="5">
        <f>O69*3/B71</f>
        <v>3.4666666666666665E-2</v>
      </c>
      <c r="C76" s="5">
        <f>O69*3/C71</f>
        <v>3.3913043478260872E-2</v>
      </c>
      <c r="D76" s="5">
        <f>O69*3/D71</f>
        <v>3.3191489361702124E-2</v>
      </c>
      <c r="E76" s="5">
        <f>O69*3/E71</f>
        <v>3.2500000000000001E-2</v>
      </c>
      <c r="F76" s="12">
        <f>O69*4/F71</f>
        <v>4.2448979591836737E-2</v>
      </c>
      <c r="G76" s="5"/>
      <c r="H76" s="5">
        <f>O69*4/H71</f>
        <v>4.0784313725490198E-2</v>
      </c>
      <c r="I76" s="5">
        <f>O69*4/I71</f>
        <v>0.04</v>
      </c>
      <c r="J76" s="5">
        <f>O69*5/J71</f>
        <v>4.9056603773584909E-2</v>
      </c>
      <c r="K76" s="5">
        <f>O69*5/K71</f>
        <v>4.8148148148148148E-2</v>
      </c>
      <c r="L76" s="5">
        <f>O69*5/L71</f>
        <v>4.7272727272727272E-2</v>
      </c>
      <c r="M76" s="5"/>
      <c r="N76" s="5">
        <f>O69*6/N71</f>
        <v>5.473684210526316E-2</v>
      </c>
      <c r="O76" s="5">
        <f>O69*6/O71</f>
        <v>5.3793103448275863E-2</v>
      </c>
      <c r="P76" s="5">
        <f>O69*6/P71</f>
        <v>5.2881355932203389E-2</v>
      </c>
      <c r="Q76" s="17"/>
      <c r="R76" s="5">
        <f>O69*7/R71</f>
        <v>5.8709677419354837E-2</v>
      </c>
    </row>
    <row r="77" spans="1:18" x14ac:dyDescent="0.25">
      <c r="A77" s="1" t="s">
        <v>3</v>
      </c>
      <c r="B77" s="21"/>
      <c r="C77" s="12"/>
      <c r="D77" s="12"/>
      <c r="E77" s="12"/>
      <c r="F77" s="12"/>
      <c r="G77" s="12">
        <f>N69*3/G71</f>
        <v>0.252</v>
      </c>
      <c r="H77" s="12"/>
      <c r="I77" s="12"/>
      <c r="J77" s="12"/>
      <c r="K77" s="12"/>
      <c r="L77" s="12"/>
      <c r="M77" s="12">
        <f>N69*3/M71</f>
        <v>0.22500000000000001</v>
      </c>
      <c r="N77" s="12"/>
      <c r="O77" s="12"/>
      <c r="P77" s="12"/>
      <c r="Q77" s="18">
        <f>N69*3/Q71</f>
        <v>0.21</v>
      </c>
      <c r="R77" s="12"/>
    </row>
    <row r="78" spans="1:18" x14ac:dyDescent="0.25">
      <c r="A78" s="1" t="s">
        <v>4</v>
      </c>
      <c r="B78" s="5">
        <f>M69/B71</f>
        <v>0</v>
      </c>
      <c r="C78" s="5">
        <f>M69/C71</f>
        <v>0</v>
      </c>
      <c r="D78" s="5">
        <f>M69/D71</f>
        <v>0</v>
      </c>
      <c r="E78" s="5">
        <f>M69/E71</f>
        <v>0</v>
      </c>
      <c r="F78" s="5">
        <f>M69*2/F71</f>
        <v>0</v>
      </c>
      <c r="G78" s="5">
        <f>M69*2/G71</f>
        <v>0</v>
      </c>
      <c r="H78" s="5">
        <f>M69*2/H71</f>
        <v>0</v>
      </c>
      <c r="I78" s="5">
        <f>M69*2/I71</f>
        <v>0</v>
      </c>
      <c r="J78" s="5">
        <f>M69*2/J71</f>
        <v>0</v>
      </c>
      <c r="K78" s="5">
        <f>M69*2/K71</f>
        <v>0</v>
      </c>
      <c r="L78" s="5">
        <f>M69*2/L71</f>
        <v>0</v>
      </c>
      <c r="M78" s="5">
        <f>M69*2/M71</f>
        <v>0</v>
      </c>
      <c r="N78" s="5">
        <f>M69*2/N71</f>
        <v>0</v>
      </c>
      <c r="O78" s="5">
        <f>M69*2/O71</f>
        <v>0</v>
      </c>
      <c r="P78" s="5">
        <f>M69*2/P71</f>
        <v>0</v>
      </c>
      <c r="Q78" s="17">
        <f>M69*2/Q71</f>
        <v>0</v>
      </c>
      <c r="R78" s="5">
        <f>M69*3/R71</f>
        <v>0</v>
      </c>
    </row>
    <row r="79" spans="1:18" x14ac:dyDescent="0.25">
      <c r="A79" s="1" t="s">
        <v>5</v>
      </c>
      <c r="B79" s="12">
        <f>L69/B71</f>
        <v>7.5555555555555558E-3</v>
      </c>
      <c r="C79" s="5">
        <f>L69/C71</f>
        <v>7.391304347826087E-3</v>
      </c>
      <c r="D79" s="5">
        <f>L69/D71</f>
        <v>7.2340425531914896E-3</v>
      </c>
      <c r="E79" s="5">
        <f>L69/E71</f>
        <v>7.083333333333333E-3</v>
      </c>
      <c r="F79" s="5">
        <f>L69*2/F71</f>
        <v>1.3877551020408163E-2</v>
      </c>
      <c r="G79" s="5">
        <f>L69*3/G71</f>
        <v>2.0400000000000001E-2</v>
      </c>
      <c r="H79" s="12">
        <f>L69*2/H71</f>
        <v>1.3333333333333334E-2</v>
      </c>
      <c r="I79" s="5">
        <f>L69*2/I71</f>
        <v>1.3076923076923076E-2</v>
      </c>
      <c r="J79" s="5">
        <f>L69*2/J71</f>
        <v>1.2830188679245283E-2</v>
      </c>
      <c r="K79" s="5">
        <f>L69*2/K71</f>
        <v>1.2592592592592593E-2</v>
      </c>
      <c r="L79" s="12">
        <f>L69*2/L71</f>
        <v>1.2363636363636363E-2</v>
      </c>
      <c r="M79" s="5">
        <f>L69*3/M71</f>
        <v>1.8214285714285714E-2</v>
      </c>
      <c r="N79" s="5">
        <f>L69*2/N71</f>
        <v>1.1929824561403509E-2</v>
      </c>
      <c r="O79" s="5">
        <f>L69*2/O71</f>
        <v>1.1724137931034483E-2</v>
      </c>
      <c r="P79" s="5">
        <f>L69*2/P71</f>
        <v>1.152542372881356E-2</v>
      </c>
      <c r="Q79" s="17">
        <f>L69*3/Q71</f>
        <v>1.7000000000000001E-2</v>
      </c>
      <c r="R79" s="5">
        <f>L69*2/R71</f>
        <v>1.0967741935483871E-2</v>
      </c>
    </row>
    <row r="80" spans="1:18" x14ac:dyDescent="0.25">
      <c r="A80" s="2" t="s">
        <v>8</v>
      </c>
      <c r="B80" s="5">
        <f>B52+B73+B74+B75+B76+B77+B78+B79+B69</f>
        <v>5.1622222222222227</v>
      </c>
      <c r="C80" s="5">
        <f>B52+C73+C74+C75+C76+C77+C78+C79+B69</f>
        <v>5.1613043478260874</v>
      </c>
      <c r="D80" s="5">
        <f>B52+D73+D74+D75+D76+D77+D78+D79+B69</f>
        <v>5.1604255319148935</v>
      </c>
      <c r="E80" s="5">
        <f>B52+E73+E74+E75+E76+E77+E78+E79+B69</f>
        <v>5.1595833333333339</v>
      </c>
      <c r="F80" s="5">
        <f>B52+F73+F74+F75+F76+F77+F78+F79+B69</f>
        <v>5.1763265306122452</v>
      </c>
      <c r="G80" s="5">
        <f>B52+G73+G74+G75+G76+G77+G78+G79+B69</f>
        <v>5.3924000000000003</v>
      </c>
      <c r="H80" s="5">
        <f>B52+H73+H74+H75+H76+H77+H78+H79+B69</f>
        <v>5.1741176470588233</v>
      </c>
      <c r="I80" s="5">
        <f>B52+I73+I74+I75+I76+I77+I78+I79+B69</f>
        <v>5.1730769230769234</v>
      </c>
      <c r="J80" s="5">
        <f>B52+J73+J74+J75+J76+J77+J78+J79+B69</f>
        <v>5.18188679245283</v>
      </c>
      <c r="K80" s="5">
        <f>B52+K73+K74+K75+K76+K77+K78+K79+B69</f>
        <v>5.1807407407407409</v>
      </c>
      <c r="L80" s="5">
        <f>B52+L73+L74+L75+L76+L77+L78+L79+B69</f>
        <v>5.179636363636364</v>
      </c>
      <c r="M80" s="5">
        <f>B52+M73+M74+M75+M76+M77+M78+M79+B69</f>
        <v>5.3632142857142862</v>
      </c>
      <c r="N80" s="5">
        <f>B52+N73+N74+N75+N76+N77+N78+N79+B69</f>
        <v>5.1866666666666665</v>
      </c>
      <c r="O80" s="5">
        <f>B52+O73+O74+O75+O76+O77+O78+O79+B69</f>
        <v>5.1855172413793102</v>
      </c>
      <c r="P80" s="5">
        <f>B52+P73+P74+P75+P76+P77+P78+P79+B69</f>
        <v>5.1844067796610167</v>
      </c>
      <c r="Q80" s="17">
        <f>B52+Q73+Q74+Q75+Q76+Q77+Q78+Q79+B69</f>
        <v>6.2432499999999997</v>
      </c>
      <c r="R80" s="5">
        <f>B52+R73+R74+R75+R76+R77+R78+R79+B69</f>
        <v>5.1896774193548385</v>
      </c>
    </row>
    <row r="81" spans="1:18" x14ac:dyDescent="0.25">
      <c r="A81" s="1" t="s">
        <v>6</v>
      </c>
      <c r="B81" s="5"/>
      <c r="C81" s="5"/>
      <c r="D81" s="5"/>
      <c r="E81" s="5"/>
      <c r="F81" s="5"/>
      <c r="G81" s="5"/>
      <c r="H81" s="14"/>
      <c r="I81" s="14"/>
      <c r="J81" s="14"/>
      <c r="K81" s="14"/>
      <c r="L81" s="14"/>
      <c r="M81" s="14"/>
      <c r="N81" s="14"/>
      <c r="O81" s="14"/>
      <c r="P81" s="14"/>
      <c r="Q81" s="19"/>
      <c r="R81" s="14"/>
    </row>
    <row r="82" spans="1:18" x14ac:dyDescent="0.25">
      <c r="A82" s="1" t="s">
        <v>7</v>
      </c>
      <c r="B82" s="5">
        <f>B80*5%</f>
        <v>0.25811111111111112</v>
      </c>
      <c r="C82" s="5">
        <f t="shared" ref="C82:R82" si="17">C80*5%</f>
        <v>0.25806521739130439</v>
      </c>
      <c r="D82" s="12">
        <f t="shared" si="17"/>
        <v>0.2580212765957447</v>
      </c>
      <c r="E82" s="5">
        <f t="shared" si="17"/>
        <v>0.2579791666666667</v>
      </c>
      <c r="F82" s="12">
        <f t="shared" si="17"/>
        <v>0.25881632653061226</v>
      </c>
      <c r="G82" s="5">
        <f t="shared" si="17"/>
        <v>0.26962000000000003</v>
      </c>
      <c r="H82" s="5">
        <f t="shared" si="17"/>
        <v>0.25870588235294117</v>
      </c>
      <c r="I82" s="5">
        <f t="shared" si="17"/>
        <v>0.25865384615384618</v>
      </c>
      <c r="J82" s="5">
        <f t="shared" si="17"/>
        <v>0.2590943396226415</v>
      </c>
      <c r="K82" s="5">
        <f t="shared" si="17"/>
        <v>0.25903703703703707</v>
      </c>
      <c r="L82" s="5">
        <f t="shared" si="17"/>
        <v>0.2589818181818182</v>
      </c>
      <c r="M82" s="5">
        <f t="shared" si="17"/>
        <v>0.26816071428571431</v>
      </c>
      <c r="N82" s="5">
        <f t="shared" si="17"/>
        <v>0.25933333333333336</v>
      </c>
      <c r="O82" s="5">
        <f t="shared" si="17"/>
        <v>0.25927586206896552</v>
      </c>
      <c r="P82" s="5">
        <f t="shared" si="17"/>
        <v>0.25922033898305086</v>
      </c>
      <c r="Q82" s="18">
        <f>Q80*5%</f>
        <v>0.31216250000000001</v>
      </c>
      <c r="R82" s="5">
        <f t="shared" si="17"/>
        <v>0.25948387096774195</v>
      </c>
    </row>
    <row r="83" spans="1:18" ht="15.75" x14ac:dyDescent="0.25">
      <c r="A83" s="3" t="s">
        <v>10</v>
      </c>
      <c r="B83" s="13">
        <f>(B80+B81)</f>
        <v>5.1622222222222227</v>
      </c>
      <c r="C83" s="13">
        <f>(C80+C81)</f>
        <v>5.1613043478260874</v>
      </c>
      <c r="D83" s="13">
        <f>(D80+D81)</f>
        <v>5.1604255319148935</v>
      </c>
      <c r="E83" s="13">
        <f>(E80+E82)</f>
        <v>5.4175625000000007</v>
      </c>
      <c r="F83" s="13">
        <f>(F80+F82)</f>
        <v>5.4351428571428571</v>
      </c>
      <c r="G83" s="13">
        <f>G80+G82</f>
        <v>5.6620200000000001</v>
      </c>
      <c r="H83" s="13">
        <f t="shared" ref="H83:R83" si="18">H80+H82</f>
        <v>5.4328235294117642</v>
      </c>
      <c r="I83" s="13">
        <f t="shared" si="18"/>
        <v>5.4317307692307697</v>
      </c>
      <c r="J83" s="13">
        <f t="shared" si="18"/>
        <v>5.4409811320754713</v>
      </c>
      <c r="K83" s="13">
        <f t="shared" si="18"/>
        <v>5.4397777777777776</v>
      </c>
      <c r="L83" s="13">
        <f t="shared" si="18"/>
        <v>5.4386181818181818</v>
      </c>
      <c r="M83" s="13">
        <f>M80+M82</f>
        <v>5.6313750000000002</v>
      </c>
      <c r="N83" s="13">
        <f t="shared" si="18"/>
        <v>5.4459999999999997</v>
      </c>
      <c r="O83" s="13">
        <f t="shared" si="18"/>
        <v>5.4447931034482755</v>
      </c>
      <c r="P83" s="13">
        <f t="shared" si="18"/>
        <v>5.4436271186440672</v>
      </c>
      <c r="Q83" s="20">
        <f>Q80+Q82</f>
        <v>6.5554125000000001</v>
      </c>
      <c r="R83" s="13">
        <f t="shared" si="18"/>
        <v>5.4491612903225803</v>
      </c>
    </row>
    <row r="84" spans="1:18" x14ac:dyDescent="0.25">
      <c r="A84" s="1" t="s">
        <v>12</v>
      </c>
      <c r="B84" s="5">
        <f t="shared" ref="B84:R84" si="19">B83*2.5%</f>
        <v>0.12905555555555556</v>
      </c>
      <c r="C84" s="5">
        <f t="shared" si="19"/>
        <v>0.1290326086956522</v>
      </c>
      <c r="D84" s="5">
        <f t="shared" si="19"/>
        <v>0.12901063829787235</v>
      </c>
      <c r="E84" s="5">
        <f t="shared" si="19"/>
        <v>0.13543906250000001</v>
      </c>
      <c r="F84" s="5">
        <f t="shared" si="19"/>
        <v>0.13587857142857143</v>
      </c>
      <c r="G84" s="5">
        <f>G83*3%</f>
        <v>0.1698606</v>
      </c>
      <c r="H84" s="5">
        <f t="shared" si="19"/>
        <v>0.13582058823529411</v>
      </c>
      <c r="I84" s="5">
        <f t="shared" si="19"/>
        <v>0.13579326923076926</v>
      </c>
      <c r="J84" s="5">
        <f t="shared" si="19"/>
        <v>0.1360245283018868</v>
      </c>
      <c r="K84" s="5">
        <f t="shared" si="19"/>
        <v>0.13599444444444445</v>
      </c>
      <c r="L84" s="5">
        <f t="shared" si="19"/>
        <v>0.13596545454545456</v>
      </c>
      <c r="M84" s="5">
        <f>M83*3%</f>
        <v>0.16894124999999999</v>
      </c>
      <c r="N84" s="5">
        <f t="shared" si="19"/>
        <v>0.13614999999999999</v>
      </c>
      <c r="O84" s="5">
        <f t="shared" si="19"/>
        <v>0.13611982758620689</v>
      </c>
      <c r="P84" s="5">
        <f t="shared" si="19"/>
        <v>0.13609067796610169</v>
      </c>
      <c r="Q84" s="17">
        <f>Q83*3%</f>
        <v>0.196662375</v>
      </c>
      <c r="R84" s="5">
        <f t="shared" si="19"/>
        <v>0.13622903225806451</v>
      </c>
    </row>
    <row r="85" spans="1:18" ht="15.75" x14ac:dyDescent="0.25">
      <c r="A85" s="3" t="s">
        <v>11</v>
      </c>
      <c r="B85" s="13">
        <f>(B83+B84)</f>
        <v>5.2912777777777782</v>
      </c>
      <c r="C85" s="13">
        <f t="shared" ref="C85:R85" si="20">(C83+C84)</f>
        <v>5.29033695652174</v>
      </c>
      <c r="D85" s="13">
        <f t="shared" si="20"/>
        <v>5.2894361702127659</v>
      </c>
      <c r="E85" s="13">
        <f t="shared" si="20"/>
        <v>5.5530015625000004</v>
      </c>
      <c r="F85" s="13">
        <f t="shared" si="20"/>
        <v>5.5710214285714281</v>
      </c>
      <c r="G85" s="13">
        <f>(G83+G84)</f>
        <v>5.8318805999999999</v>
      </c>
      <c r="H85" s="13">
        <f t="shared" si="20"/>
        <v>5.5686441176470582</v>
      </c>
      <c r="I85" s="13">
        <f t="shared" si="20"/>
        <v>5.5675240384615385</v>
      </c>
      <c r="J85" s="13">
        <f t="shared" si="20"/>
        <v>5.5770056603773579</v>
      </c>
      <c r="K85" s="13">
        <f t="shared" si="20"/>
        <v>5.5757722222222217</v>
      </c>
      <c r="L85" s="13">
        <f t="shared" si="20"/>
        <v>5.5745836363636361</v>
      </c>
      <c r="M85" s="13">
        <f>(M83+M84)</f>
        <v>5.8003162499999998</v>
      </c>
      <c r="N85" s="13">
        <f t="shared" si="20"/>
        <v>5.5821499999999995</v>
      </c>
      <c r="O85" s="13">
        <f t="shared" si="20"/>
        <v>5.580912931034482</v>
      </c>
      <c r="P85" s="13">
        <f t="shared" si="20"/>
        <v>5.5797177966101685</v>
      </c>
      <c r="Q85" s="93">
        <f>(Q83+Q84)</f>
        <v>6.7520748749999999</v>
      </c>
      <c r="R85" s="13">
        <f t="shared" si="20"/>
        <v>5.5853903225806452</v>
      </c>
    </row>
    <row r="87" spans="1:18" ht="15.75" x14ac:dyDescent="0.25">
      <c r="A87" s="3"/>
      <c r="B87" s="13"/>
    </row>
    <row r="88" spans="1:18" ht="15.75" x14ac:dyDescent="0.25">
      <c r="A88" s="8" t="s">
        <v>14</v>
      </c>
      <c r="B88" s="22">
        <v>3200</v>
      </c>
      <c r="C88" s="22">
        <v>3300</v>
      </c>
      <c r="D88" s="22">
        <v>3400</v>
      </c>
      <c r="E88" s="22">
        <v>3500</v>
      </c>
      <c r="F88" s="22">
        <v>3600</v>
      </c>
      <c r="G88" s="22">
        <v>3700</v>
      </c>
      <c r="H88" s="22">
        <v>3800</v>
      </c>
      <c r="I88" s="22">
        <v>3900</v>
      </c>
      <c r="J88" s="22">
        <v>4000</v>
      </c>
      <c r="K88" s="22">
        <v>4100</v>
      </c>
      <c r="L88" s="22">
        <v>4200</v>
      </c>
      <c r="M88" s="22">
        <v>4300</v>
      </c>
      <c r="N88" s="22">
        <v>4400</v>
      </c>
      <c r="O88" s="22">
        <v>4500</v>
      </c>
      <c r="P88" s="22">
        <v>4600</v>
      </c>
      <c r="Q88" s="22">
        <v>4700</v>
      </c>
      <c r="R88" s="22">
        <v>4800</v>
      </c>
    </row>
    <row r="89" spans="1:18" x14ac:dyDescent="0.25">
      <c r="A89" t="s">
        <v>1</v>
      </c>
      <c r="B89" s="12"/>
      <c r="C89" s="23"/>
      <c r="D89" s="23"/>
      <c r="E89" s="23"/>
      <c r="F89" s="23"/>
      <c r="G89" s="23"/>
      <c r="H89" s="23"/>
      <c r="I89" s="23"/>
      <c r="J89" s="23">
        <v>850</v>
      </c>
      <c r="K89" s="23"/>
      <c r="L89" s="23"/>
      <c r="M89" s="23"/>
      <c r="N89" s="23"/>
      <c r="O89" s="23"/>
      <c r="P89" s="23"/>
      <c r="Q89" s="23"/>
      <c r="R89" s="23"/>
    </row>
    <row r="90" spans="1:18" x14ac:dyDescent="0.25">
      <c r="A90" t="s">
        <v>9</v>
      </c>
      <c r="B90" s="5">
        <f>(B89/60)*R69/B88</f>
        <v>0</v>
      </c>
      <c r="C90" s="5">
        <f>(C89/60)*R69/C88</f>
        <v>0</v>
      </c>
      <c r="D90" s="12">
        <f>(D89/60)*R69/D88</f>
        <v>0</v>
      </c>
      <c r="E90" s="5">
        <f>(E89/60)*R69/E88</f>
        <v>0</v>
      </c>
      <c r="F90" s="5">
        <f>(F89/60)*R69/F88</f>
        <v>0</v>
      </c>
      <c r="G90" s="5">
        <f>(G89/60)*R69/G88</f>
        <v>0</v>
      </c>
      <c r="H90" s="5">
        <f>(H89/60)*R69/H88</f>
        <v>0</v>
      </c>
      <c r="I90" s="5">
        <f>(I89/60)*R69/I88</f>
        <v>0</v>
      </c>
      <c r="J90" s="12">
        <f>(J89/60)*R69/J88</f>
        <v>0.84645833333333331</v>
      </c>
      <c r="K90" s="5">
        <f>(K89/60)*R69/K88</f>
        <v>0</v>
      </c>
      <c r="L90" s="5">
        <f>(L89/60)*R69/L88</f>
        <v>0</v>
      </c>
      <c r="M90" s="5">
        <f>(M89/60)*R69/M88</f>
        <v>0</v>
      </c>
      <c r="N90" s="5">
        <f>(N89/60)*R69/N88</f>
        <v>0</v>
      </c>
      <c r="O90" s="5">
        <f>(O89/60)*R69/O88</f>
        <v>0</v>
      </c>
      <c r="P90" s="5">
        <f>(P89/60)*R69/P88</f>
        <v>0</v>
      </c>
      <c r="Q90" s="5">
        <f>(Q89/60)*R69/Q88</f>
        <v>0</v>
      </c>
      <c r="R90" s="5">
        <f>(R89/60)*R69/R88</f>
        <v>0</v>
      </c>
    </row>
    <row r="91" spans="1:18" x14ac:dyDescent="0.25">
      <c r="A91" t="s">
        <v>16</v>
      </c>
      <c r="B91" s="5">
        <f>Q69/B88</f>
        <v>0</v>
      </c>
      <c r="C91" s="5">
        <f>Q89/C88</f>
        <v>0</v>
      </c>
      <c r="D91" s="12">
        <f>Q69/D88</f>
        <v>0</v>
      </c>
      <c r="E91" s="5">
        <f>Q69/E88</f>
        <v>0</v>
      </c>
      <c r="F91" s="12">
        <f>Q69/F88</f>
        <v>0</v>
      </c>
      <c r="G91" s="5">
        <f>Q69/G88</f>
        <v>0</v>
      </c>
      <c r="H91" s="5">
        <f>Q69/H88</f>
        <v>0</v>
      </c>
      <c r="I91" s="5">
        <f>Q69/I88</f>
        <v>0</v>
      </c>
      <c r="J91" s="5">
        <f>Q69/J88</f>
        <v>0</v>
      </c>
      <c r="K91" s="5">
        <f>Q69/K88</f>
        <v>0</v>
      </c>
      <c r="L91" s="5">
        <f>Q69/L88</f>
        <v>0</v>
      </c>
      <c r="M91" s="12">
        <f>Q69/M88</f>
        <v>0</v>
      </c>
      <c r="N91" s="5">
        <f>Q69/N88</f>
        <v>0</v>
      </c>
      <c r="O91" s="5">
        <f>Q69/O88</f>
        <v>0</v>
      </c>
      <c r="P91" s="5">
        <f>Q69/P88</f>
        <v>0</v>
      </c>
      <c r="Q91" s="5">
        <f>Q69/Q88</f>
        <v>0</v>
      </c>
      <c r="R91" s="5">
        <f>Q69/R88</f>
        <v>0</v>
      </c>
    </row>
    <row r="92" spans="1:18" x14ac:dyDescent="0.25">
      <c r="A92" t="s">
        <v>15</v>
      </c>
      <c r="B92" s="5">
        <f>P69/B88</f>
        <v>0</v>
      </c>
      <c r="C92" s="5">
        <f>P69/C88</f>
        <v>0</v>
      </c>
      <c r="D92" s="12">
        <f>P69/D88</f>
        <v>0</v>
      </c>
      <c r="E92" s="5">
        <f>P69/E88</f>
        <v>0</v>
      </c>
      <c r="F92" s="5">
        <f>P69/F88</f>
        <v>0</v>
      </c>
      <c r="G92" s="5">
        <f>P69/G88</f>
        <v>0</v>
      </c>
      <c r="H92" s="5">
        <f>P69/H88</f>
        <v>0</v>
      </c>
      <c r="I92" s="12">
        <f>P69/I88</f>
        <v>0</v>
      </c>
      <c r="J92" s="5">
        <f>P69/J88</f>
        <v>0</v>
      </c>
      <c r="K92" s="5">
        <f>P69/K88</f>
        <v>0</v>
      </c>
      <c r="L92" s="5">
        <f>P69/L88</f>
        <v>0</v>
      </c>
      <c r="M92" s="5">
        <f>P69/M88</f>
        <v>0</v>
      </c>
      <c r="N92" s="5">
        <f>P69/N88</f>
        <v>0</v>
      </c>
      <c r="O92" s="5">
        <f>P69/O88</f>
        <v>0</v>
      </c>
      <c r="P92" s="5">
        <f>P69/P88</f>
        <v>0</v>
      </c>
      <c r="Q92" s="5">
        <f>P69/Q88</f>
        <v>0</v>
      </c>
      <c r="R92" s="5">
        <f>P69/R88</f>
        <v>0</v>
      </c>
    </row>
    <row r="93" spans="1:18" x14ac:dyDescent="0.25">
      <c r="A93" t="s">
        <v>2</v>
      </c>
      <c r="B93" s="5">
        <f>O69*3/B88</f>
        <v>2.4375000000000001E-2</v>
      </c>
      <c r="C93" s="5">
        <f>O69*3/C88</f>
        <v>2.3636363636363636E-2</v>
      </c>
      <c r="D93" s="5">
        <f>O69*3/D88</f>
        <v>2.2941176470588236E-2</v>
      </c>
      <c r="E93" s="5">
        <f>O69*3/E88</f>
        <v>2.2285714285714287E-2</v>
      </c>
      <c r="F93" s="12">
        <f>O69*4/F88</f>
        <v>2.8888888888888888E-2</v>
      </c>
      <c r="G93" s="5">
        <f>O69*4/G88</f>
        <v>2.8108108108108109E-2</v>
      </c>
      <c r="H93" s="5">
        <f>O69*4/H88</f>
        <v>2.736842105263158E-2</v>
      </c>
      <c r="I93" s="5">
        <f>O69*4/I88</f>
        <v>2.6666666666666668E-2</v>
      </c>
      <c r="J93" s="5"/>
      <c r="K93" s="5">
        <f>O69*5/K88</f>
        <v>3.1707317073170732E-2</v>
      </c>
      <c r="L93" s="5">
        <f>O69*5/L88</f>
        <v>3.0952380952380953E-2</v>
      </c>
      <c r="M93" s="5">
        <f>O69*5/M88</f>
        <v>3.0232558139534883E-2</v>
      </c>
      <c r="N93" s="5">
        <f>O69*6/N88</f>
        <v>3.5454545454545454E-2</v>
      </c>
      <c r="O93" s="5">
        <f>O69*6/O88</f>
        <v>3.4666666666666665E-2</v>
      </c>
      <c r="P93" s="5">
        <f>O69*6/P88</f>
        <v>3.3913043478260872E-2</v>
      </c>
      <c r="Q93" s="5">
        <f>O69*6/Q88</f>
        <v>3.3191489361702124E-2</v>
      </c>
      <c r="R93" s="5">
        <f>O69*7/R88</f>
        <v>3.7916666666666668E-2</v>
      </c>
    </row>
    <row r="94" spans="1:18" x14ac:dyDescent="0.25">
      <c r="A94" s="1" t="s">
        <v>3</v>
      </c>
      <c r="B94" s="21"/>
      <c r="C94" s="12"/>
      <c r="D94" s="12"/>
      <c r="E94" s="12"/>
      <c r="F94" s="12"/>
      <c r="G94" s="12"/>
      <c r="H94" s="12"/>
      <c r="I94" s="12"/>
      <c r="J94" s="12">
        <f>N69*4/J88</f>
        <v>0.21</v>
      </c>
      <c r="K94" s="12"/>
      <c r="L94" s="12"/>
      <c r="M94" s="12"/>
      <c r="N94" s="12"/>
      <c r="O94" s="12"/>
      <c r="P94" s="12"/>
      <c r="Q94" s="12"/>
      <c r="R94" s="12"/>
    </row>
    <row r="95" spans="1:18" x14ac:dyDescent="0.25">
      <c r="A95" s="1" t="s">
        <v>4</v>
      </c>
      <c r="B95" s="5">
        <f>M69/B88</f>
        <v>0</v>
      </c>
      <c r="C95" s="5">
        <f>M69/C88</f>
        <v>0</v>
      </c>
      <c r="D95" s="5">
        <f>M69/D88</f>
        <v>0</v>
      </c>
      <c r="E95" s="5">
        <f>M69/E88</f>
        <v>0</v>
      </c>
      <c r="F95" s="12">
        <f>M69*2/F88</f>
        <v>0</v>
      </c>
      <c r="G95" s="5">
        <f>M69*2/G88</f>
        <v>0</v>
      </c>
      <c r="H95" s="5">
        <f>M69*2/H88</f>
        <v>0</v>
      </c>
      <c r="I95" s="5">
        <f>M69*2/I88</f>
        <v>0</v>
      </c>
      <c r="J95" s="5">
        <f>M69*2/J88</f>
        <v>0</v>
      </c>
      <c r="K95" s="5">
        <f>M69*2/K88</f>
        <v>0</v>
      </c>
      <c r="L95" s="5">
        <f>M69*2/L88</f>
        <v>0</v>
      </c>
      <c r="M95" s="5">
        <f>M69*2/M88</f>
        <v>0</v>
      </c>
      <c r="N95" s="5">
        <f>M69*2/N88</f>
        <v>0</v>
      </c>
      <c r="O95" s="5">
        <f>M69*2/O88</f>
        <v>0</v>
      </c>
      <c r="P95" s="5">
        <f>M69*2/P88</f>
        <v>0</v>
      </c>
      <c r="Q95" s="5">
        <f>M69*2/Q88</f>
        <v>0</v>
      </c>
      <c r="R95" s="5">
        <f>M69*3/R88</f>
        <v>0</v>
      </c>
    </row>
    <row r="96" spans="1:18" x14ac:dyDescent="0.25">
      <c r="A96" s="1" t="s">
        <v>5</v>
      </c>
      <c r="B96" s="12">
        <f>L69/B88</f>
        <v>5.3125000000000004E-3</v>
      </c>
      <c r="C96" s="5">
        <f>L69/C88</f>
        <v>5.1515151515151517E-3</v>
      </c>
      <c r="D96" s="5">
        <f>L69/D88</f>
        <v>5.0000000000000001E-3</v>
      </c>
      <c r="E96" s="5">
        <f>L69/E88</f>
        <v>4.8571428571428567E-3</v>
      </c>
      <c r="F96" s="5">
        <f>L69*2/F88</f>
        <v>9.4444444444444445E-3</v>
      </c>
      <c r="G96" s="5">
        <f>L69*2/G88</f>
        <v>9.189189189189189E-3</v>
      </c>
      <c r="H96" s="12">
        <f>L69*2/H88</f>
        <v>8.9473684210526309E-3</v>
      </c>
      <c r="I96" s="5">
        <f>L69*2/I88</f>
        <v>8.7179487179487175E-3</v>
      </c>
      <c r="J96" s="5">
        <f>L69*4/J88</f>
        <v>1.7000000000000001E-2</v>
      </c>
      <c r="K96" s="5">
        <f>L69*2/K88</f>
        <v>8.2926829268292687E-3</v>
      </c>
      <c r="L96" s="12">
        <f>L69*2/L88</f>
        <v>8.0952380952380946E-3</v>
      </c>
      <c r="M96" s="5">
        <f>L69*2/M88</f>
        <v>7.9069767441860457E-3</v>
      </c>
      <c r="N96" s="5">
        <f>L69*2/N88</f>
        <v>7.7272727272727276E-3</v>
      </c>
      <c r="O96" s="5">
        <f>L69*2/O88</f>
        <v>7.5555555555555558E-3</v>
      </c>
      <c r="P96" s="5">
        <f>L69*2/P88</f>
        <v>7.391304347826087E-3</v>
      </c>
      <c r="Q96" s="5">
        <f>L69*2/Q88</f>
        <v>7.2340425531914896E-3</v>
      </c>
      <c r="R96" s="5">
        <f>L69*2/R88</f>
        <v>7.083333333333333E-3</v>
      </c>
    </row>
    <row r="97" spans="1:18" x14ac:dyDescent="0.25">
      <c r="A97" s="2" t="s">
        <v>8</v>
      </c>
      <c r="B97" s="5">
        <f>B69+B90+B91+B92+B93+B94+B95+B96</f>
        <v>5.1496874999999998</v>
      </c>
      <c r="C97" s="5">
        <f>B69+C90+C91+C92+C93+C94+C95+C96</f>
        <v>5.1487878787878785</v>
      </c>
      <c r="D97" s="5">
        <f>B69+D90+D91+D92+D93+D94+D95+D96</f>
        <v>5.1479411764705878</v>
      </c>
      <c r="E97" s="5">
        <f>B69+E90+E91+E92+E93+E94+E95+E96</f>
        <v>5.1471428571428568</v>
      </c>
      <c r="F97" s="5">
        <f>B69+F90+F91+F92+F93+F94+F95+F96</f>
        <v>5.1583333333333332</v>
      </c>
      <c r="G97" s="5">
        <f>B69+G90+G91+G92+G93+G94+G95+G96</f>
        <v>5.1572972972972968</v>
      </c>
      <c r="H97" s="5">
        <f>B69+H90+H91+H92+H93+H94+H95+H96</f>
        <v>5.1563157894736849</v>
      </c>
      <c r="I97" s="5">
        <f>B69+I90+I91+I92+I93+I94+I95+I96</f>
        <v>5.155384615384615</v>
      </c>
      <c r="J97" s="5">
        <f>B69+J90+J91+J92+J93+J94+J95+J96</f>
        <v>6.193458333333334</v>
      </c>
      <c r="K97" s="5">
        <f>B69+K90+K91+K92+K93+K94+K95+K96</f>
        <v>5.1599999999999993</v>
      </c>
      <c r="L97" s="5">
        <f>B69+L90+L91+L92+L93+L94+L95+L96</f>
        <v>5.1590476190476187</v>
      </c>
      <c r="M97" s="5">
        <f>B69+M90+M91+M92+M93+M94+M95+M96</f>
        <v>5.1581395348837216</v>
      </c>
      <c r="N97" s="5">
        <f>B69+N90+N91+N92+N93+N94+N95+N96</f>
        <v>5.1631818181818181</v>
      </c>
      <c r="O97" s="5">
        <f>B69+O90+O91+O92+O93+O94+O95+O96</f>
        <v>5.1622222222222218</v>
      </c>
      <c r="P97" s="5">
        <f>B69+P90+P91+P92+P93+P94+P95+P96</f>
        <v>5.1613043478260874</v>
      </c>
      <c r="Q97" s="5">
        <f>B69+Q90+Q91+Q92+Q93+Q94+Q95+Q96</f>
        <v>5.1604255319148935</v>
      </c>
      <c r="R97" s="5">
        <f>B69+R90+R91+R92+R93+R94+R95+R96</f>
        <v>5.165</v>
      </c>
    </row>
    <row r="98" spans="1:18" x14ac:dyDescent="0.25">
      <c r="A98" s="1" t="s">
        <v>6</v>
      </c>
      <c r="B98" s="5"/>
      <c r="C98" s="5"/>
      <c r="D98" s="5"/>
      <c r="E98" s="5"/>
      <c r="F98" s="5"/>
      <c r="G98" s="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 x14ac:dyDescent="0.25">
      <c r="A99" s="1" t="s">
        <v>7</v>
      </c>
      <c r="B99" s="5">
        <f>B97*5%</f>
        <v>0.25748437499999999</v>
      </c>
      <c r="C99" s="5">
        <f t="shared" ref="C99:R99" si="21">C97*5%</f>
        <v>0.25743939393939391</v>
      </c>
      <c r="D99" s="12">
        <f t="shared" si="21"/>
        <v>0.25739705882352942</v>
      </c>
      <c r="E99" s="5">
        <f t="shared" si="21"/>
        <v>0.25735714285714284</v>
      </c>
      <c r="F99" s="12">
        <f t="shared" si="21"/>
        <v>0.25791666666666668</v>
      </c>
      <c r="G99" s="5">
        <f t="shared" si="21"/>
        <v>0.25786486486486487</v>
      </c>
      <c r="H99" s="5">
        <f t="shared" si="21"/>
        <v>0.25781578947368428</v>
      </c>
      <c r="I99" s="5">
        <f t="shared" si="21"/>
        <v>0.25776923076923075</v>
      </c>
      <c r="J99" s="5">
        <f t="shared" si="21"/>
        <v>0.30967291666666674</v>
      </c>
      <c r="K99" s="5">
        <f t="shared" si="21"/>
        <v>0.25799999999999995</v>
      </c>
      <c r="L99" s="5">
        <f t="shared" si="21"/>
        <v>0.25795238095238093</v>
      </c>
      <c r="M99" s="5">
        <f t="shared" si="21"/>
        <v>0.25790697674418611</v>
      </c>
      <c r="N99" s="5">
        <f t="shared" si="21"/>
        <v>0.25815909090909089</v>
      </c>
      <c r="O99" s="5">
        <f t="shared" si="21"/>
        <v>0.25811111111111112</v>
      </c>
      <c r="P99" s="5">
        <f t="shared" si="21"/>
        <v>0.25806521739130439</v>
      </c>
      <c r="Q99" s="12">
        <f t="shared" si="21"/>
        <v>0.2580212765957447</v>
      </c>
      <c r="R99" s="5">
        <f t="shared" si="21"/>
        <v>0.25825000000000004</v>
      </c>
    </row>
    <row r="100" spans="1:18" ht="15.75" x14ac:dyDescent="0.25">
      <c r="A100" s="3" t="s">
        <v>10</v>
      </c>
      <c r="B100" s="13">
        <f>(B97+B99)</f>
        <v>5.4071718749999995</v>
      </c>
      <c r="C100" s="13">
        <f>(C97+C99)</f>
        <v>5.4062272727272722</v>
      </c>
      <c r="D100" s="13">
        <f>(D97+D99)</f>
        <v>5.4053382352941171</v>
      </c>
      <c r="E100" s="13">
        <f>(E97+E99)</f>
        <v>5.4044999999999996</v>
      </c>
      <c r="F100" s="13">
        <f>(F97+F99)</f>
        <v>5.4162499999999998</v>
      </c>
      <c r="G100" s="13">
        <f>G97+G99</f>
        <v>5.4151621621621615</v>
      </c>
      <c r="H100" s="13">
        <f t="shared" ref="H100:R100" si="22">H97+H99</f>
        <v>5.4141315789473694</v>
      </c>
      <c r="I100" s="13">
        <f t="shared" si="22"/>
        <v>5.413153846153846</v>
      </c>
      <c r="J100" s="13">
        <f t="shared" si="22"/>
        <v>6.5031312500000009</v>
      </c>
      <c r="K100" s="13">
        <f t="shared" si="22"/>
        <v>5.4179999999999993</v>
      </c>
      <c r="L100" s="13">
        <f t="shared" si="22"/>
        <v>5.4169999999999998</v>
      </c>
      <c r="M100" s="13">
        <f t="shared" si="22"/>
        <v>5.4160465116279077</v>
      </c>
      <c r="N100" s="13">
        <f t="shared" si="22"/>
        <v>5.421340909090909</v>
      </c>
      <c r="O100" s="13">
        <f t="shared" si="22"/>
        <v>5.4203333333333328</v>
      </c>
      <c r="P100" s="13">
        <f t="shared" si="22"/>
        <v>5.4193695652173917</v>
      </c>
      <c r="Q100" s="13">
        <f t="shared" si="22"/>
        <v>5.4184468085106383</v>
      </c>
      <c r="R100" s="13">
        <f t="shared" si="22"/>
        <v>5.4232500000000003</v>
      </c>
    </row>
    <row r="101" spans="1:18" x14ac:dyDescent="0.25">
      <c r="A101" s="1" t="s">
        <v>12</v>
      </c>
      <c r="B101" s="5">
        <f t="shared" ref="B101:R101" si="23">B100*2.5%</f>
        <v>0.13517929687499999</v>
      </c>
      <c r="C101" s="5">
        <f t="shared" si="23"/>
        <v>0.1351556818181818</v>
      </c>
      <c r="D101" s="5">
        <f t="shared" si="23"/>
        <v>0.13513345588235293</v>
      </c>
      <c r="E101" s="5">
        <f t="shared" si="23"/>
        <v>0.1351125</v>
      </c>
      <c r="F101" s="5">
        <f t="shared" si="23"/>
        <v>0.13540625000000001</v>
      </c>
      <c r="G101" s="5">
        <f t="shared" si="23"/>
        <v>0.13537905405405404</v>
      </c>
      <c r="H101" s="5">
        <f t="shared" si="23"/>
        <v>0.13535328947368425</v>
      </c>
      <c r="I101" s="5">
        <f t="shared" si="23"/>
        <v>0.13532884615384616</v>
      </c>
      <c r="J101" s="5">
        <f>J100*3%</f>
        <v>0.19509393750000001</v>
      </c>
      <c r="K101" s="5">
        <f t="shared" si="23"/>
        <v>0.13544999999999999</v>
      </c>
      <c r="L101" s="5">
        <f t="shared" si="23"/>
        <v>0.13542499999999999</v>
      </c>
      <c r="M101" s="5">
        <f t="shared" si="23"/>
        <v>0.13540116279069769</v>
      </c>
      <c r="N101" s="5">
        <f t="shared" si="23"/>
        <v>0.13553352272727273</v>
      </c>
      <c r="O101" s="5">
        <f t="shared" si="23"/>
        <v>0.13550833333333331</v>
      </c>
      <c r="P101" s="5">
        <f t="shared" si="23"/>
        <v>0.13548423913043481</v>
      </c>
      <c r="Q101" s="5">
        <f t="shared" si="23"/>
        <v>0.13546117021276596</v>
      </c>
      <c r="R101" s="5">
        <f t="shared" si="23"/>
        <v>0.13558125000000001</v>
      </c>
    </row>
    <row r="102" spans="1:18" ht="15.75" x14ac:dyDescent="0.25">
      <c r="A102" s="3" t="s">
        <v>11</v>
      </c>
      <c r="B102" s="13">
        <f>(B100+B101)</f>
        <v>5.5423511718749996</v>
      </c>
      <c r="C102" s="13">
        <f t="shared" ref="C102:R102" si="24">(C100+C101)</f>
        <v>5.5413829545454538</v>
      </c>
      <c r="D102" s="13">
        <f t="shared" si="24"/>
        <v>5.54047169117647</v>
      </c>
      <c r="E102" s="13">
        <f t="shared" si="24"/>
        <v>5.5396124999999996</v>
      </c>
      <c r="F102" s="13">
        <f t="shared" si="24"/>
        <v>5.5516562499999997</v>
      </c>
      <c r="G102" s="13">
        <f t="shared" si="24"/>
        <v>5.5505412162162155</v>
      </c>
      <c r="H102" s="13">
        <f t="shared" si="24"/>
        <v>5.5494848684210538</v>
      </c>
      <c r="I102" s="13">
        <f t="shared" si="24"/>
        <v>5.548482692307692</v>
      </c>
      <c r="J102" s="13">
        <f t="shared" si="24"/>
        <v>6.6982251875000012</v>
      </c>
      <c r="K102" s="13">
        <f t="shared" si="24"/>
        <v>5.5534499999999989</v>
      </c>
      <c r="L102" s="13">
        <f t="shared" si="24"/>
        <v>5.5524249999999995</v>
      </c>
      <c r="M102" s="13">
        <f t="shared" si="24"/>
        <v>5.5514476744186059</v>
      </c>
      <c r="N102" s="13">
        <f t="shared" si="24"/>
        <v>5.5568744318181817</v>
      </c>
      <c r="O102" s="13">
        <f t="shared" si="24"/>
        <v>5.5558416666666659</v>
      </c>
      <c r="P102" s="13">
        <f t="shared" si="24"/>
        <v>5.5548538043478262</v>
      </c>
      <c r="Q102" s="13">
        <f t="shared" si="24"/>
        <v>5.5539079787234042</v>
      </c>
      <c r="R102" s="13">
        <f t="shared" si="24"/>
        <v>5.5588312500000008</v>
      </c>
    </row>
    <row r="103" spans="1:18" ht="18.75" x14ac:dyDescent="0.3">
      <c r="A103" s="4" t="s">
        <v>0</v>
      </c>
      <c r="B103" s="11">
        <f>B69</f>
        <v>5.12</v>
      </c>
      <c r="C103">
        <f>C1</f>
        <v>0</v>
      </c>
      <c r="L103">
        <v>10</v>
      </c>
      <c r="N103">
        <v>170</v>
      </c>
      <c r="O103">
        <v>22</v>
      </c>
      <c r="P103">
        <v>68</v>
      </c>
      <c r="Q103">
        <v>42</v>
      </c>
      <c r="R103">
        <f>R69</f>
        <v>239</v>
      </c>
    </row>
    <row r="104" spans="1:18" ht="15.75" x14ac:dyDescent="0.25">
      <c r="A104" s="3"/>
      <c r="B104" s="13"/>
    </row>
    <row r="105" spans="1:18" ht="15.75" x14ac:dyDescent="0.25">
      <c r="A105" s="8" t="s">
        <v>14</v>
      </c>
      <c r="B105" s="22">
        <v>4900</v>
      </c>
      <c r="C105" s="22">
        <v>5000</v>
      </c>
      <c r="D105" s="22">
        <v>5100</v>
      </c>
      <c r="E105" s="22">
        <v>5200</v>
      </c>
      <c r="F105" s="22">
        <v>5300</v>
      </c>
      <c r="G105" s="22">
        <v>5400</v>
      </c>
      <c r="H105" s="22">
        <v>5500</v>
      </c>
      <c r="I105" s="22">
        <v>5600</v>
      </c>
      <c r="J105" s="22">
        <v>5700</v>
      </c>
      <c r="K105" s="22">
        <v>5800</v>
      </c>
      <c r="L105" s="22">
        <v>5900</v>
      </c>
      <c r="M105" s="22">
        <v>6000</v>
      </c>
      <c r="N105" s="22">
        <v>6100</v>
      </c>
      <c r="O105" s="22">
        <v>6200</v>
      </c>
      <c r="P105" s="22">
        <v>6300</v>
      </c>
      <c r="Q105" s="22">
        <v>6400</v>
      </c>
      <c r="R105" s="22">
        <v>6500</v>
      </c>
    </row>
    <row r="106" spans="1:18" x14ac:dyDescent="0.25">
      <c r="A106" t="s">
        <v>1</v>
      </c>
      <c r="B106" s="1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x14ac:dyDescent="0.25">
      <c r="A107" t="s">
        <v>9</v>
      </c>
      <c r="B107" s="5">
        <f>(B106/60)*R103/B105</f>
        <v>0</v>
      </c>
      <c r="C107" s="5">
        <f>(C106/60)*R103/C105</f>
        <v>0</v>
      </c>
      <c r="D107" s="12">
        <f>(D106/60)*R103/D105</f>
        <v>0</v>
      </c>
      <c r="E107" s="5">
        <f>(E106/60)*R103/E105</f>
        <v>0</v>
      </c>
      <c r="F107" s="5">
        <f>(F106/60)*R103/F105</f>
        <v>0</v>
      </c>
      <c r="G107" s="5">
        <f>(G106/60)*R103/G105</f>
        <v>0</v>
      </c>
      <c r="H107" s="5">
        <f>(H106/60)*R103/H105</f>
        <v>0</v>
      </c>
      <c r="I107" s="5">
        <f>(I106/60)*R103/I105</f>
        <v>0</v>
      </c>
      <c r="J107" s="12">
        <f>(J106/60)*R103/J105</f>
        <v>0</v>
      </c>
      <c r="K107" s="5">
        <f>(K106/60)*R103/K105</f>
        <v>0</v>
      </c>
      <c r="L107" s="5">
        <f>(L106/60)*R103/L105</f>
        <v>0</v>
      </c>
      <c r="M107" s="5">
        <f>(M106/60)*R103/M105</f>
        <v>0</v>
      </c>
      <c r="N107" s="5">
        <f>(N106/60)*R103/N105</f>
        <v>0</v>
      </c>
      <c r="O107" s="5">
        <f>(O106/60)*R103/O105</f>
        <v>0</v>
      </c>
      <c r="P107" s="5">
        <f>(P106/60)*R103/P105</f>
        <v>0</v>
      </c>
      <c r="Q107" s="5">
        <f>(Q106/60)*R103/Q105</f>
        <v>0</v>
      </c>
      <c r="R107" s="5">
        <f>(R106/60)*R86/R105</f>
        <v>0</v>
      </c>
    </row>
    <row r="108" spans="1:18" x14ac:dyDescent="0.25">
      <c r="A108" t="s">
        <v>16</v>
      </c>
      <c r="B108" s="5">
        <f>Q103/B105</f>
        <v>8.5714285714285719E-3</v>
      </c>
      <c r="C108" s="5">
        <f>Q103/C105</f>
        <v>8.3999999999999995E-3</v>
      </c>
      <c r="D108" s="12">
        <f>Q103/D105</f>
        <v>8.2352941176470594E-3</v>
      </c>
      <c r="E108" s="5">
        <f>Q103/E105</f>
        <v>8.076923076923077E-3</v>
      </c>
      <c r="F108" s="12">
        <f>Q103/F105</f>
        <v>7.9245283018867917E-3</v>
      </c>
      <c r="G108" s="5">
        <f>Q103/G105</f>
        <v>7.7777777777777776E-3</v>
      </c>
      <c r="H108" s="5">
        <f>Q103/H105</f>
        <v>7.6363636363636364E-3</v>
      </c>
      <c r="I108" s="5">
        <f>Q103/I105</f>
        <v>7.4999999999999997E-3</v>
      </c>
      <c r="J108" s="5">
        <f>Q103/J105</f>
        <v>7.3684210526315788E-3</v>
      </c>
      <c r="K108" s="5">
        <f>Q103/K105</f>
        <v>7.241379310344828E-3</v>
      </c>
      <c r="L108" s="5">
        <f>Q103/L105</f>
        <v>7.1186440677966098E-3</v>
      </c>
      <c r="M108" s="12">
        <f>Q103/M105</f>
        <v>7.0000000000000001E-3</v>
      </c>
      <c r="N108" s="5">
        <f>Q103/N105</f>
        <v>6.8852459016393447E-3</v>
      </c>
      <c r="O108" s="5">
        <f>Q103/O105</f>
        <v>6.7741935483870966E-3</v>
      </c>
      <c r="P108" s="5">
        <f>Q103/P105</f>
        <v>6.6666666666666671E-3</v>
      </c>
      <c r="Q108" s="5">
        <f>Q103/Q105</f>
        <v>6.5624999999999998E-3</v>
      </c>
      <c r="R108" s="5">
        <f>Q103/R105</f>
        <v>6.4615384615384613E-3</v>
      </c>
    </row>
    <row r="109" spans="1:18" x14ac:dyDescent="0.25">
      <c r="A109" t="s">
        <v>15</v>
      </c>
      <c r="B109" s="5">
        <f>P103/B105</f>
        <v>1.3877551020408163E-2</v>
      </c>
      <c r="C109" s="5">
        <f>P103/C105</f>
        <v>1.3599999999999999E-2</v>
      </c>
      <c r="D109" s="12">
        <f>P103/D105</f>
        <v>1.3333333333333334E-2</v>
      </c>
      <c r="E109" s="5">
        <f>P103/E105</f>
        <v>1.3076923076923076E-2</v>
      </c>
      <c r="F109" s="5">
        <f>P103/F105</f>
        <v>1.2830188679245283E-2</v>
      </c>
      <c r="G109" s="5">
        <f>P103/G105</f>
        <v>1.2592592592592593E-2</v>
      </c>
      <c r="H109" s="5">
        <f>P103/H105</f>
        <v>1.2363636363636363E-2</v>
      </c>
      <c r="I109" s="12">
        <f>P103/I105</f>
        <v>1.2142857142857143E-2</v>
      </c>
      <c r="J109" s="5">
        <f>P103/J105</f>
        <v>1.1929824561403509E-2</v>
      </c>
      <c r="K109" s="5">
        <f>P103/K105</f>
        <v>1.1724137931034483E-2</v>
      </c>
      <c r="L109" s="5">
        <f>P103/L105</f>
        <v>1.152542372881356E-2</v>
      </c>
      <c r="M109" s="5">
        <f>P103/M105</f>
        <v>1.1333333333333334E-2</v>
      </c>
      <c r="N109" s="5">
        <f>P103/N105</f>
        <v>1.1147540983606558E-2</v>
      </c>
      <c r="O109" s="5">
        <f>P103/O105</f>
        <v>1.0967741935483871E-2</v>
      </c>
      <c r="P109" s="5">
        <f>P103/P105</f>
        <v>1.0793650793650795E-2</v>
      </c>
      <c r="Q109" s="5">
        <f>P103/Q105</f>
        <v>1.0625000000000001E-2</v>
      </c>
      <c r="R109" s="5">
        <f>P103/R105</f>
        <v>1.0461538461538461E-2</v>
      </c>
    </row>
    <row r="110" spans="1:18" x14ac:dyDescent="0.25">
      <c r="A110" t="s">
        <v>2</v>
      </c>
      <c r="B110" s="5">
        <f>O103*3/B105</f>
        <v>1.3469387755102041E-2</v>
      </c>
      <c r="C110" s="5">
        <f>O103*3/C105</f>
        <v>1.32E-2</v>
      </c>
      <c r="D110" s="5">
        <f>O103*3/D105</f>
        <v>1.2941176470588235E-2</v>
      </c>
      <c r="E110" s="5">
        <f>O103*3/E105</f>
        <v>1.2692307692307692E-2</v>
      </c>
      <c r="F110" s="12">
        <f>O103*4/F105</f>
        <v>1.6603773584905661E-2</v>
      </c>
      <c r="G110" s="5">
        <f>O103*4/G105</f>
        <v>1.6296296296296295E-2</v>
      </c>
      <c r="H110" s="5">
        <f>O103*4/H105</f>
        <v>1.6E-2</v>
      </c>
      <c r="I110" s="5">
        <f>O103*4/I105</f>
        <v>1.5714285714285715E-2</v>
      </c>
      <c r="J110" s="5">
        <f>O103*5/J105</f>
        <v>1.9298245614035089E-2</v>
      </c>
      <c r="K110" s="5">
        <f>O103*5/K105</f>
        <v>1.896551724137931E-2</v>
      </c>
      <c r="L110" s="5">
        <f>O103*5/L105</f>
        <v>1.864406779661017E-2</v>
      </c>
      <c r="M110" s="5">
        <f>O103*5/M105</f>
        <v>1.8333333333333333E-2</v>
      </c>
      <c r="N110" s="5">
        <f>O103*6/N105</f>
        <v>2.1639344262295083E-2</v>
      </c>
      <c r="O110" s="5">
        <f>O103*6/O105</f>
        <v>2.1290322580645161E-2</v>
      </c>
      <c r="P110" s="5">
        <f>O103*6/P105</f>
        <v>2.0952380952380951E-2</v>
      </c>
      <c r="Q110" s="5">
        <f>O103*6/Q105</f>
        <v>2.0625000000000001E-2</v>
      </c>
      <c r="R110" s="5">
        <f>O103*7/R105</f>
        <v>2.3692307692307693E-2</v>
      </c>
    </row>
    <row r="111" spans="1:18" x14ac:dyDescent="0.25">
      <c r="A111" s="1" t="s">
        <v>3</v>
      </c>
      <c r="B111" s="2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1:18" x14ac:dyDescent="0.25">
      <c r="A112" s="1" t="s">
        <v>4</v>
      </c>
      <c r="B112" s="5">
        <f>M103/B105</f>
        <v>0</v>
      </c>
      <c r="C112" s="5">
        <f>M103/C105</f>
        <v>0</v>
      </c>
      <c r="D112" s="5">
        <f>M103/D105</f>
        <v>0</v>
      </c>
      <c r="E112" s="5">
        <f>M103/E105</f>
        <v>0</v>
      </c>
      <c r="F112" s="12">
        <f>M103*2/F105</f>
        <v>0</v>
      </c>
      <c r="G112" s="5">
        <f>M103*2/G105</f>
        <v>0</v>
      </c>
      <c r="H112" s="5">
        <f>M103*2/H105</f>
        <v>0</v>
      </c>
      <c r="I112" s="5">
        <f>M103*2/I105</f>
        <v>0</v>
      </c>
      <c r="J112" s="5">
        <f>M103*2/J105</f>
        <v>0</v>
      </c>
      <c r="K112" s="5">
        <f>M103*2/K105</f>
        <v>0</v>
      </c>
      <c r="L112" s="5">
        <f>M103*2/L105</f>
        <v>0</v>
      </c>
      <c r="M112" s="5">
        <f>M103*2/M105</f>
        <v>0</v>
      </c>
      <c r="N112" s="5">
        <f>M103*2/N105</f>
        <v>0</v>
      </c>
      <c r="O112" s="5">
        <f>M103*2/O105</f>
        <v>0</v>
      </c>
      <c r="P112" s="5">
        <f>M103*2/P105</f>
        <v>0</v>
      </c>
      <c r="Q112" s="5">
        <f>M103*2/Q105</f>
        <v>0</v>
      </c>
      <c r="R112" s="5">
        <f>M103*3/R105</f>
        <v>0</v>
      </c>
    </row>
    <row r="113" spans="1:18" x14ac:dyDescent="0.25">
      <c r="A113" s="1" t="s">
        <v>5</v>
      </c>
      <c r="B113" s="12">
        <f>L103/B105</f>
        <v>2.0408163265306124E-3</v>
      </c>
      <c r="C113" s="5">
        <f>L103/C105</f>
        <v>2E-3</v>
      </c>
      <c r="D113" s="5">
        <f>L103/D105</f>
        <v>1.9607843137254902E-3</v>
      </c>
      <c r="E113" s="5">
        <f>L103/E105</f>
        <v>1.9230769230769232E-3</v>
      </c>
      <c r="F113" s="5">
        <f>L103*2/F105</f>
        <v>3.7735849056603774E-3</v>
      </c>
      <c r="G113" s="5">
        <f>L103*2/G105</f>
        <v>3.7037037037037038E-3</v>
      </c>
      <c r="H113" s="12">
        <f>L103*2/H105</f>
        <v>3.6363636363636364E-3</v>
      </c>
      <c r="I113" s="5">
        <f>L103*2/I105</f>
        <v>3.5714285714285713E-3</v>
      </c>
      <c r="J113" s="5">
        <f>L103*2/J105</f>
        <v>3.5087719298245615E-3</v>
      </c>
      <c r="K113" s="5">
        <f>L103*2/K105</f>
        <v>3.4482758620689655E-3</v>
      </c>
      <c r="L113" s="12">
        <f>L103*2/L105</f>
        <v>3.3898305084745762E-3</v>
      </c>
      <c r="M113" s="5">
        <f>L103*2/M105</f>
        <v>3.3333333333333335E-3</v>
      </c>
      <c r="N113" s="5">
        <f>L103*2/N105</f>
        <v>3.2786885245901639E-3</v>
      </c>
      <c r="O113" s="5">
        <f>L103*2/O105</f>
        <v>3.2258064516129032E-3</v>
      </c>
      <c r="P113" s="5">
        <f>L103*2/P105</f>
        <v>3.1746031746031746E-3</v>
      </c>
      <c r="Q113" s="5">
        <f>L103*2/Q105</f>
        <v>3.1250000000000002E-3</v>
      </c>
      <c r="R113" s="5">
        <f>L103*2/R105</f>
        <v>3.0769230769230769E-3</v>
      </c>
    </row>
    <row r="114" spans="1:18" x14ac:dyDescent="0.25">
      <c r="A114" s="2" t="s">
        <v>8</v>
      </c>
      <c r="B114" s="5">
        <f>B103+B107+B108+B109+B110+B111+B112+B113</f>
        <v>5.1579591836734702</v>
      </c>
      <c r="C114" s="5">
        <f>B103+C107+C108+C109+C110+C111+C112+C113</f>
        <v>5.1572000000000005</v>
      </c>
      <c r="D114" s="5">
        <f>B103+D107+D108+D109+D110+D111+D112+D113</f>
        <v>5.1564705882352939</v>
      </c>
      <c r="E114" s="5">
        <f>B103+E107+E108+E109+E110+E111+E112+E113</f>
        <v>5.1557692307692315</v>
      </c>
      <c r="F114" s="5">
        <f>B103+F107+F108+F109+F110+F111+F112+F113</f>
        <v>5.1611320754716985</v>
      </c>
      <c r="G114" s="5">
        <f>B103+G107+G108+G109+G110+G111+G112+G113</f>
        <v>5.1603703703703712</v>
      </c>
      <c r="H114" s="5">
        <f>B103+H107+H108+H109+H110+H111+H112+H113</f>
        <v>5.1596363636363636</v>
      </c>
      <c r="I114" s="5">
        <f>B103+I107+I108+I109+I110+I111+I112+I113</f>
        <v>5.1589285714285724</v>
      </c>
      <c r="J114" s="5">
        <f>B103+J107+J108+J109+J110+J111+J112+J113</f>
        <v>5.1621052631578941</v>
      </c>
      <c r="K114" s="5">
        <f>B103+K107+K108+K109+K110+K111+K112+K113</f>
        <v>5.1613793103448273</v>
      </c>
      <c r="L114" s="5">
        <f>B103+L107+L108+L109+L110+L111+L112+L113</f>
        <v>5.1606779661016953</v>
      </c>
      <c r="M114" s="5">
        <f>B103+M107+M108+M109+M110+M111+M112+M113</f>
        <v>5.1599999999999993</v>
      </c>
      <c r="N114" s="5">
        <f>B103+N107+N108+N109+N110+N111+N112+N113</f>
        <v>5.1629508196721314</v>
      </c>
      <c r="O114" s="5">
        <f>B103+O107+O108+O109+O110+O111+O112+O113</f>
        <v>5.1622580645161289</v>
      </c>
      <c r="P114" s="5">
        <f>B103+P107+P108+P109+P110+P111+P112+P113</f>
        <v>5.1615873015873017</v>
      </c>
      <c r="Q114" s="5">
        <f>B103+Q107+Q108+Q109+Q110+Q111+Q112+Q113</f>
        <v>5.1609375000000002</v>
      </c>
      <c r="R114" s="5">
        <f>B103+R107+R108+R109+R110+R111+R112+R113</f>
        <v>5.1636923076923082</v>
      </c>
    </row>
    <row r="115" spans="1:18" x14ac:dyDescent="0.25">
      <c r="A115" s="1" t="s">
        <v>6</v>
      </c>
      <c r="B115" s="5"/>
      <c r="C115" s="5"/>
      <c r="D115" s="5"/>
      <c r="E115" s="5"/>
      <c r="F115" s="5"/>
      <c r="G115" s="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 x14ac:dyDescent="0.25">
      <c r="A116" s="1" t="s">
        <v>7</v>
      </c>
      <c r="B116" s="5">
        <f>B114*5%</f>
        <v>0.25789795918367353</v>
      </c>
      <c r="C116" s="5">
        <f t="shared" ref="C116:R116" si="25">C114*5%</f>
        <v>0.25786000000000003</v>
      </c>
      <c r="D116" s="12">
        <f t="shared" si="25"/>
        <v>0.25782352941176473</v>
      </c>
      <c r="E116" s="5">
        <f t="shared" si="25"/>
        <v>0.25778846153846158</v>
      </c>
      <c r="F116" s="12">
        <f t="shared" si="25"/>
        <v>0.25805660377358491</v>
      </c>
      <c r="G116" s="5">
        <f t="shared" si="25"/>
        <v>0.25801851851851859</v>
      </c>
      <c r="H116" s="5">
        <f t="shared" si="25"/>
        <v>0.2579818181818182</v>
      </c>
      <c r="I116" s="5">
        <f t="shared" si="25"/>
        <v>0.25794642857142863</v>
      </c>
      <c r="J116" s="5">
        <f t="shared" si="25"/>
        <v>0.25810526315789473</v>
      </c>
      <c r="K116" s="5">
        <f t="shared" si="25"/>
        <v>0.2580689655172414</v>
      </c>
      <c r="L116" s="5">
        <f t="shared" si="25"/>
        <v>0.25803389830508477</v>
      </c>
      <c r="M116" s="5">
        <f t="shared" si="25"/>
        <v>0.25799999999999995</v>
      </c>
      <c r="N116" s="5">
        <f t="shared" si="25"/>
        <v>0.25814754098360659</v>
      </c>
      <c r="O116" s="5">
        <f t="shared" si="25"/>
        <v>0.25811290322580643</v>
      </c>
      <c r="P116" s="5">
        <f t="shared" si="25"/>
        <v>0.25807936507936508</v>
      </c>
      <c r="Q116" s="12">
        <f t="shared" si="25"/>
        <v>0.25804687500000001</v>
      </c>
      <c r="R116" s="5">
        <f t="shared" si="25"/>
        <v>0.2581846153846154</v>
      </c>
    </row>
    <row r="117" spans="1:18" ht="15.75" x14ac:dyDescent="0.25">
      <c r="A117" s="3" t="s">
        <v>10</v>
      </c>
      <c r="B117" s="13">
        <f>SUM(B114:B116)</f>
        <v>5.4158571428571438</v>
      </c>
      <c r="C117" s="13">
        <f>(C114+C115)</f>
        <v>5.1572000000000005</v>
      </c>
      <c r="D117" s="13">
        <f>(D114+D115)</f>
        <v>5.1564705882352939</v>
      </c>
      <c r="E117" s="13">
        <f>(E114+E116)</f>
        <v>5.4135576923076929</v>
      </c>
      <c r="F117" s="13">
        <f>(F114+F116)</f>
        <v>5.4191886792452832</v>
      </c>
      <c r="G117" s="13">
        <f>G114+G116</f>
        <v>5.4183888888888898</v>
      </c>
      <c r="H117" s="13">
        <f t="shared" ref="H117:R117" si="26">H114+H116</f>
        <v>5.4176181818181819</v>
      </c>
      <c r="I117" s="13">
        <f t="shared" si="26"/>
        <v>5.416875000000001</v>
      </c>
      <c r="J117" s="13">
        <f t="shared" si="26"/>
        <v>5.4202105263157891</v>
      </c>
      <c r="K117" s="13">
        <f t="shared" si="26"/>
        <v>5.4194482758620683</v>
      </c>
      <c r="L117" s="13">
        <f t="shared" si="26"/>
        <v>5.41871186440678</v>
      </c>
      <c r="M117" s="13">
        <f t="shared" si="26"/>
        <v>5.4179999999999993</v>
      </c>
      <c r="N117" s="13">
        <f t="shared" si="26"/>
        <v>5.4210983606557379</v>
      </c>
      <c r="O117" s="13">
        <f t="shared" si="26"/>
        <v>5.4203709677419356</v>
      </c>
      <c r="P117" s="13">
        <f t="shared" si="26"/>
        <v>5.4196666666666671</v>
      </c>
      <c r="Q117" s="13">
        <f t="shared" si="26"/>
        <v>5.418984375</v>
      </c>
      <c r="R117" s="13">
        <f t="shared" si="26"/>
        <v>5.4218769230769235</v>
      </c>
    </row>
    <row r="118" spans="1:18" x14ac:dyDescent="0.25">
      <c r="A118" s="1" t="s">
        <v>12</v>
      </c>
      <c r="B118" s="5">
        <f t="shared" ref="B118:R118" si="27">B117*2.5%</f>
        <v>0.13539642857142861</v>
      </c>
      <c r="C118" s="5">
        <f t="shared" si="27"/>
        <v>0.12893000000000002</v>
      </c>
      <c r="D118" s="5">
        <f t="shared" si="27"/>
        <v>0.12891176470588236</v>
      </c>
      <c r="E118" s="5">
        <f t="shared" si="27"/>
        <v>0.13533894230769233</v>
      </c>
      <c r="F118" s="5">
        <f t="shared" si="27"/>
        <v>0.13547971698113209</v>
      </c>
      <c r="G118" s="5">
        <f t="shared" si="27"/>
        <v>0.13545972222222225</v>
      </c>
      <c r="H118" s="5">
        <f t="shared" si="27"/>
        <v>0.13544045454545456</v>
      </c>
      <c r="I118" s="5">
        <f t="shared" si="27"/>
        <v>0.13542187500000002</v>
      </c>
      <c r="J118" s="5">
        <f t="shared" si="27"/>
        <v>0.13550526315789474</v>
      </c>
      <c r="K118" s="5">
        <f t="shared" si="27"/>
        <v>0.13548620689655172</v>
      </c>
      <c r="L118" s="5">
        <f t="shared" si="27"/>
        <v>0.1354677966101695</v>
      </c>
      <c r="M118" s="5">
        <f t="shared" si="27"/>
        <v>0.13544999999999999</v>
      </c>
      <c r="N118" s="5">
        <f t="shared" si="27"/>
        <v>0.13552745901639346</v>
      </c>
      <c r="O118" s="5">
        <f t="shared" si="27"/>
        <v>0.13550927419354838</v>
      </c>
      <c r="P118" s="5">
        <f t="shared" si="27"/>
        <v>0.13549166666666668</v>
      </c>
      <c r="Q118" s="5">
        <f t="shared" si="27"/>
        <v>0.135474609375</v>
      </c>
      <c r="R118" s="5">
        <f t="shared" si="27"/>
        <v>0.13554692307692309</v>
      </c>
    </row>
    <row r="119" spans="1:18" ht="15.75" x14ac:dyDescent="0.25">
      <c r="A119" s="3" t="s">
        <v>11</v>
      </c>
      <c r="B119" s="13">
        <f>(B117+B118)</f>
        <v>5.551253571428572</v>
      </c>
      <c r="C119" s="13">
        <f t="shared" ref="C119:R119" si="28">(C117+C118)</f>
        <v>5.2861300000000009</v>
      </c>
      <c r="D119" s="13">
        <f t="shared" si="28"/>
        <v>5.2853823529411761</v>
      </c>
      <c r="E119" s="13">
        <f t="shared" si="28"/>
        <v>5.5488966346153852</v>
      </c>
      <c r="F119" s="13">
        <f t="shared" si="28"/>
        <v>5.5546683962264156</v>
      </c>
      <c r="G119" s="13">
        <f t="shared" si="28"/>
        <v>5.5538486111111123</v>
      </c>
      <c r="H119" s="13">
        <f t="shared" si="28"/>
        <v>5.5530586363636365</v>
      </c>
      <c r="I119" s="13">
        <f t="shared" si="28"/>
        <v>5.5522968750000015</v>
      </c>
      <c r="J119" s="13">
        <f t="shared" si="28"/>
        <v>5.5557157894736839</v>
      </c>
      <c r="K119" s="13">
        <f t="shared" si="28"/>
        <v>5.55493448275862</v>
      </c>
      <c r="L119" s="13">
        <f t="shared" si="28"/>
        <v>5.5541796610169492</v>
      </c>
      <c r="M119" s="13">
        <f t="shared" si="28"/>
        <v>5.5534499999999989</v>
      </c>
      <c r="N119" s="13">
        <f t="shared" si="28"/>
        <v>5.5566258196721314</v>
      </c>
      <c r="O119" s="13">
        <f t="shared" si="28"/>
        <v>5.5558802419354842</v>
      </c>
      <c r="P119" s="13">
        <f t="shared" si="28"/>
        <v>5.5551583333333339</v>
      </c>
      <c r="Q119" s="13">
        <f t="shared" si="28"/>
        <v>5.5544589843749996</v>
      </c>
      <c r="R119" s="13">
        <f t="shared" si="28"/>
        <v>5.5574238461538465</v>
      </c>
    </row>
  </sheetData>
  <pageMargins left="0.7" right="0.7" top="0.75" bottom="0.41666666666666669" header="0.3" footer="0.3"/>
  <pageSetup paperSize="9" orientation="landscape" r:id="rId1"/>
  <headerFooter>
    <oddHeader xml:space="preserve">&amp;L&amp;"-,Negrita"&amp;20TARIFA 1 - EMULSIONES
&amp;CMESO BEAUTY
EDT PROMOCIONAL&amp;RPRESUPUESTO:   476/25
FECHA :   16/10/25
                </oddHeader>
  </headerFooter>
  <ignoredErrors>
    <ignoredError sqref="Q84 G84:M85 K16" 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4E63-FB3A-44B0-AA9E-F7356B464B40}">
  <sheetPr codeName="Hoja12"/>
  <dimension ref="A1:B9"/>
  <sheetViews>
    <sheetView workbookViewId="0">
      <selection activeCell="B21" sqref="B21"/>
    </sheetView>
  </sheetViews>
  <sheetFormatPr baseColWidth="10" defaultColWidth="8.85546875" defaultRowHeight="15" x14ac:dyDescent="0.25"/>
  <cols>
    <col min="1" max="1" width="30" customWidth="1"/>
    <col min="2" max="2" width="90" customWidth="1"/>
  </cols>
  <sheetData>
    <row r="1" spans="1:2" x14ac:dyDescent="0.25">
      <c r="A1" s="24" t="s">
        <v>176</v>
      </c>
      <c r="B1" s="24" t="s">
        <v>197</v>
      </c>
    </row>
    <row r="2" spans="1:2" x14ac:dyDescent="0.25">
      <c r="A2" t="s">
        <v>18</v>
      </c>
      <c r="B2" t="s">
        <v>196</v>
      </c>
    </row>
    <row r="3" spans="1:2" x14ac:dyDescent="0.25">
      <c r="A3" t="s">
        <v>184</v>
      </c>
      <c r="B3" t="s">
        <v>195</v>
      </c>
    </row>
    <row r="4" spans="1:2" x14ac:dyDescent="0.25">
      <c r="A4" t="s">
        <v>194</v>
      </c>
      <c r="B4" t="s">
        <v>193</v>
      </c>
    </row>
    <row r="5" spans="1:2" x14ac:dyDescent="0.25">
      <c r="A5" t="s">
        <v>185</v>
      </c>
      <c r="B5" t="s">
        <v>192</v>
      </c>
    </row>
    <row r="7" spans="1:2" x14ac:dyDescent="0.25">
      <c r="A7" t="s">
        <v>191</v>
      </c>
      <c r="B7" t="s">
        <v>190</v>
      </c>
    </row>
    <row r="8" spans="1:2" x14ac:dyDescent="0.25">
      <c r="A8" t="s">
        <v>189</v>
      </c>
      <c r="B8" t="s">
        <v>188</v>
      </c>
    </row>
    <row r="9" spans="1:2" x14ac:dyDescent="0.25">
      <c r="A9" t="s">
        <v>187</v>
      </c>
      <c r="B9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Ternum tubos</vt:lpstr>
      <vt:lpstr>Mesobeauty</vt:lpstr>
      <vt:lpstr>Modelo FS</vt:lpstr>
      <vt:lpstr>DB &gt;&gt;</vt:lpstr>
      <vt:lpstr>TD tarifas</vt:lpstr>
      <vt:lpstr>BD tasas y precios</vt:lpstr>
      <vt:lpstr>BD Jumsa</vt:lpstr>
      <vt:lpstr>BD Tubos</vt:lpstr>
      <vt:lpstr>tarifas Word JUMSA </vt:lpstr>
      <vt:lpstr>Tarifas Word Tubos (</vt:lpstr>
      <vt:lpstr>tarifas Excel COPER</vt:lpstr>
      <vt:lpstr>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Jumsa</dc:creator>
  <cp:lastModifiedBy>Adrian Ibarra Perez</cp:lastModifiedBy>
  <cp:lastPrinted>2020-09-07T11:19:55Z</cp:lastPrinted>
  <dcterms:created xsi:type="dcterms:W3CDTF">2011-04-22T11:46:04Z</dcterms:created>
  <dcterms:modified xsi:type="dcterms:W3CDTF">2025-12-18T12:07:15Z</dcterms:modified>
</cp:coreProperties>
</file>